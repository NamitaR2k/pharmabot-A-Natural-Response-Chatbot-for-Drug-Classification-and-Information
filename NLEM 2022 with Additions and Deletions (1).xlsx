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dpco\D\BIZCURA - CLIENTS\NLEM 2022\"/>
    </mc:Choice>
  </mc:AlternateContent>
  <bookViews>
    <workbookView xWindow="0" yWindow="0" windowWidth="20490" windowHeight="7755"/>
  </bookViews>
  <sheets>
    <sheet name="CONSOLIDATED NLEM 2022" sheetId="4" r:id="rId1"/>
    <sheet name="Sheet1" sheetId="6" state="hidden" r:id="rId2"/>
    <sheet name="Modified Release" sheetId="5" r:id="rId3"/>
    <sheet name="Additions" sheetId="2" r:id="rId4"/>
    <sheet name="Deletions" sheetId="1" r:id="rId5"/>
  </sheets>
  <definedNames>
    <definedName name="_xlnm._FilterDatabase" localSheetId="3" hidden="1">Additions!$C$3:$H$120</definedName>
    <definedName name="_xlnm._FilterDatabase" localSheetId="0" hidden="1">'CONSOLIDATED NLEM 2022'!$A$8:$I$1221</definedName>
    <definedName name="_xlnm._FilterDatabase" localSheetId="4" hidden="1">Deletions!$C$3:$G$124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218" i="4" l="1"/>
  <c r="AA1217" i="4"/>
  <c r="AA1216" i="4"/>
  <c r="AA1215" i="4"/>
  <c r="AA1214" i="4"/>
  <c r="AA1213" i="4"/>
  <c r="AA1212" i="4"/>
  <c r="AA1211" i="4"/>
  <c r="AA1210" i="4"/>
  <c r="AA1209" i="4"/>
  <c r="AA1208" i="4"/>
  <c r="AA1207" i="4"/>
  <c r="AA1206" i="4"/>
  <c r="AA1205" i="4"/>
  <c r="AA1204" i="4"/>
  <c r="AA1203" i="4"/>
  <c r="AA1202" i="4"/>
  <c r="AA1201" i="4"/>
  <c r="AA1200" i="4"/>
  <c r="AA1199" i="4"/>
  <c r="AA1198" i="4"/>
  <c r="AA1197" i="4"/>
  <c r="AA1196" i="4"/>
  <c r="AA1195" i="4"/>
  <c r="AA1194" i="4"/>
  <c r="AA1193" i="4"/>
  <c r="AA1192" i="4"/>
  <c r="AA1191" i="4"/>
  <c r="AA1190" i="4"/>
  <c r="AA1189" i="4"/>
  <c r="AA1188" i="4"/>
  <c r="AA1187" i="4"/>
  <c r="AA1186" i="4"/>
  <c r="AA1185" i="4"/>
  <c r="AA1184" i="4"/>
  <c r="AA1183" i="4"/>
  <c r="AA1182" i="4"/>
  <c r="AA1181" i="4"/>
  <c r="AA1180" i="4"/>
  <c r="AA1179" i="4"/>
  <c r="AA1178" i="4"/>
  <c r="AA1177" i="4"/>
  <c r="AA1176" i="4"/>
  <c r="AA1175" i="4"/>
  <c r="AA1174" i="4"/>
  <c r="AA1173" i="4"/>
  <c r="AA1172" i="4"/>
  <c r="AA1171" i="4"/>
  <c r="AA1170" i="4"/>
  <c r="AA1169" i="4"/>
  <c r="AA1168" i="4"/>
  <c r="AA1167" i="4"/>
  <c r="AA1166" i="4"/>
  <c r="AA1165" i="4"/>
  <c r="AA1164" i="4"/>
  <c r="AA1163" i="4"/>
  <c r="AA1162" i="4"/>
  <c r="AA1161" i="4"/>
  <c r="AA1160" i="4"/>
  <c r="AA1159" i="4"/>
  <c r="AA1158" i="4"/>
  <c r="AA1157" i="4"/>
  <c r="AA1156" i="4"/>
  <c r="AA1155" i="4"/>
  <c r="AA1154" i="4"/>
  <c r="AA1153" i="4"/>
  <c r="AA1152" i="4"/>
  <c r="AA1151" i="4"/>
  <c r="AA1150" i="4"/>
  <c r="AA1149" i="4"/>
  <c r="AA1148" i="4"/>
  <c r="AA1147" i="4"/>
  <c r="AA1146" i="4"/>
  <c r="AA1145" i="4"/>
  <c r="AA1144" i="4"/>
  <c r="AA1143" i="4"/>
  <c r="AA1142" i="4"/>
  <c r="AA1141" i="4"/>
  <c r="AA1140" i="4"/>
  <c r="AA1139" i="4"/>
  <c r="AA1138" i="4"/>
  <c r="AA1137" i="4"/>
  <c r="AA1136" i="4"/>
  <c r="AA1135" i="4"/>
  <c r="AA1134" i="4"/>
  <c r="AA1133" i="4"/>
  <c r="AA1132" i="4"/>
  <c r="AA1131" i="4"/>
  <c r="AA1130" i="4"/>
  <c r="AA1129" i="4"/>
  <c r="AA1128" i="4"/>
  <c r="AA1127" i="4"/>
  <c r="AA1126" i="4"/>
  <c r="AA1125" i="4"/>
  <c r="AA1124" i="4"/>
  <c r="AA1123" i="4"/>
  <c r="AA1122" i="4"/>
  <c r="AA1121" i="4"/>
  <c r="AA1120" i="4"/>
  <c r="AA1119" i="4"/>
  <c r="AA1118" i="4"/>
  <c r="AA1117" i="4"/>
  <c r="AA1116" i="4"/>
  <c r="AA1115" i="4"/>
  <c r="AA1114" i="4"/>
  <c r="AA1113" i="4"/>
  <c r="AA1112" i="4"/>
  <c r="AA1111" i="4"/>
  <c r="AA1110" i="4"/>
  <c r="AA1109" i="4"/>
  <c r="AA1108" i="4"/>
  <c r="AA1107" i="4"/>
  <c r="AA1106" i="4"/>
  <c r="AA1105" i="4"/>
  <c r="AA1104" i="4"/>
  <c r="AA1103" i="4"/>
  <c r="AA1102" i="4"/>
  <c r="AA1101" i="4"/>
  <c r="AA1100" i="4"/>
  <c r="AA1099" i="4"/>
  <c r="AA1098" i="4"/>
  <c r="AA1097" i="4"/>
  <c r="AA1096" i="4"/>
  <c r="AA1095" i="4"/>
  <c r="AA1094" i="4"/>
  <c r="AA1093" i="4"/>
  <c r="AA1092" i="4"/>
  <c r="AA1091" i="4"/>
  <c r="AA1090" i="4"/>
  <c r="AA1089" i="4"/>
  <c r="AA1088" i="4"/>
  <c r="AA1087" i="4"/>
  <c r="AA1086" i="4"/>
  <c r="AA1085" i="4"/>
  <c r="AA1084" i="4"/>
  <c r="AA1083" i="4"/>
  <c r="AA1082" i="4"/>
  <c r="AA1081" i="4"/>
  <c r="AA1080" i="4"/>
  <c r="AA1079" i="4"/>
  <c r="AA1078" i="4"/>
  <c r="AA1077" i="4"/>
  <c r="AA1076" i="4"/>
  <c r="AA1075" i="4"/>
  <c r="AA1074" i="4"/>
  <c r="AA1073" i="4"/>
  <c r="AA1072" i="4"/>
  <c r="AA1071" i="4"/>
  <c r="AA1070" i="4"/>
  <c r="AA1069" i="4"/>
  <c r="AA1068" i="4"/>
  <c r="AA1067" i="4"/>
  <c r="AA1066" i="4"/>
  <c r="AA1065" i="4"/>
  <c r="AA1064" i="4"/>
  <c r="AA1063" i="4"/>
  <c r="AA1062" i="4"/>
  <c r="AA1061" i="4"/>
  <c r="AA1060" i="4"/>
  <c r="AA1059" i="4"/>
  <c r="AA1058" i="4"/>
  <c r="AA1057" i="4"/>
  <c r="AA1056" i="4"/>
  <c r="AA1055" i="4"/>
  <c r="AA1054" i="4"/>
  <c r="AA1053" i="4"/>
  <c r="AA1052" i="4"/>
  <c r="AA1051" i="4"/>
  <c r="AA1050" i="4"/>
  <c r="AA1049" i="4"/>
  <c r="AA1048" i="4"/>
  <c r="AA1047" i="4"/>
  <c r="AA1046" i="4"/>
  <c r="AA1045" i="4"/>
  <c r="AA1044" i="4"/>
  <c r="AA1043" i="4"/>
  <c r="AA1042" i="4"/>
  <c r="AA1041" i="4"/>
  <c r="AA1040" i="4"/>
  <c r="AA1039" i="4"/>
  <c r="AA1038" i="4"/>
  <c r="AA1037" i="4"/>
  <c r="AA1036" i="4"/>
  <c r="AA1035" i="4"/>
  <c r="AA1034" i="4"/>
  <c r="AA1033" i="4"/>
  <c r="AA1032" i="4"/>
  <c r="AA1031" i="4"/>
  <c r="AA1030" i="4"/>
  <c r="AA1029" i="4"/>
  <c r="AA1028" i="4"/>
  <c r="AA1027" i="4"/>
  <c r="AA1026" i="4"/>
  <c r="AA1025" i="4"/>
  <c r="AA1024" i="4"/>
  <c r="AA1023" i="4"/>
  <c r="AA1022" i="4"/>
  <c r="AA1021" i="4"/>
  <c r="AA1020" i="4"/>
  <c r="AA1019" i="4"/>
  <c r="AA1018" i="4"/>
  <c r="AA1017" i="4"/>
  <c r="AA1016" i="4"/>
  <c r="AA1015" i="4"/>
  <c r="AA1014" i="4"/>
  <c r="AA1013" i="4"/>
  <c r="AA1012" i="4"/>
  <c r="AA1011" i="4"/>
  <c r="AA1010" i="4"/>
  <c r="AA1009" i="4"/>
  <c r="AA1008" i="4"/>
  <c r="AA1007" i="4"/>
  <c r="AA1006" i="4"/>
  <c r="AA1005" i="4"/>
  <c r="AA1004" i="4"/>
  <c r="AA1003" i="4"/>
  <c r="AA1002" i="4"/>
  <c r="AA1001" i="4"/>
  <c r="AA1000" i="4"/>
  <c r="AA999" i="4"/>
  <c r="AA998" i="4"/>
  <c r="AA997" i="4"/>
  <c r="AA996" i="4"/>
  <c r="AA995" i="4"/>
  <c r="AA994" i="4"/>
  <c r="AA993" i="4"/>
  <c r="AA992" i="4"/>
  <c r="AA991" i="4"/>
  <c r="AA990" i="4"/>
  <c r="AA989" i="4"/>
  <c r="AA988" i="4"/>
  <c r="AA987" i="4"/>
  <c r="AA986" i="4"/>
  <c r="AA985" i="4"/>
  <c r="AA984" i="4"/>
  <c r="AA983" i="4"/>
  <c r="AA982" i="4"/>
  <c r="AA981" i="4"/>
  <c r="AA980" i="4"/>
  <c r="AA979" i="4"/>
  <c r="AA978" i="4"/>
  <c r="AA977" i="4"/>
  <c r="AA976" i="4"/>
  <c r="AA975" i="4"/>
  <c r="AA974" i="4"/>
  <c r="AA973" i="4"/>
  <c r="AA972" i="4"/>
  <c r="AA971" i="4"/>
  <c r="AA970" i="4"/>
  <c r="AA969" i="4"/>
  <c r="AA968" i="4"/>
  <c r="AA967" i="4"/>
  <c r="AA966" i="4"/>
  <c r="AA965" i="4"/>
  <c r="AA964" i="4"/>
  <c r="AA963" i="4"/>
  <c r="AA962" i="4"/>
  <c r="AA961" i="4"/>
  <c r="AA960" i="4"/>
  <c r="AA959" i="4"/>
  <c r="AA958" i="4"/>
  <c r="AA957" i="4"/>
  <c r="AA956" i="4"/>
  <c r="AA955" i="4"/>
  <c r="AA954" i="4"/>
  <c r="AA953" i="4"/>
  <c r="AA952" i="4"/>
  <c r="AA951" i="4"/>
  <c r="AA950" i="4"/>
  <c r="AA949" i="4"/>
  <c r="AA948" i="4"/>
  <c r="AA947" i="4"/>
  <c r="AA946" i="4"/>
  <c r="AA945" i="4"/>
  <c r="AA944" i="4"/>
  <c r="AA943" i="4"/>
  <c r="AA942" i="4"/>
  <c r="AA941" i="4"/>
  <c r="AA940" i="4"/>
  <c r="AA939" i="4"/>
  <c r="AA938" i="4"/>
  <c r="AA937" i="4"/>
  <c r="AA936" i="4"/>
  <c r="AA935" i="4"/>
  <c r="AA934" i="4"/>
  <c r="AA933" i="4"/>
  <c r="AA932" i="4"/>
  <c r="AA931" i="4"/>
  <c r="AA930" i="4"/>
  <c r="AA929" i="4"/>
  <c r="AA928" i="4"/>
  <c r="AA927" i="4"/>
  <c r="AA926" i="4"/>
  <c r="AA925" i="4"/>
  <c r="AA924" i="4"/>
  <c r="AA923" i="4"/>
  <c r="AA922" i="4"/>
  <c r="AA921" i="4"/>
  <c r="AA920" i="4"/>
  <c r="AA919" i="4"/>
  <c r="AA918" i="4"/>
  <c r="AA917" i="4"/>
  <c r="AA916" i="4"/>
  <c r="AA915" i="4"/>
  <c r="AA914" i="4"/>
  <c r="AA913" i="4"/>
  <c r="AA912" i="4"/>
  <c r="AA911" i="4"/>
  <c r="AA910" i="4"/>
  <c r="AA909" i="4"/>
  <c r="AA908" i="4"/>
  <c r="AA907" i="4"/>
  <c r="AA906" i="4"/>
  <c r="AA905" i="4"/>
  <c r="AA904" i="4"/>
  <c r="AA903" i="4"/>
  <c r="AA902" i="4"/>
  <c r="AA901" i="4"/>
  <c r="AA900" i="4"/>
  <c r="AA899" i="4"/>
  <c r="AA898" i="4"/>
  <c r="AA897" i="4"/>
  <c r="AA896" i="4"/>
  <c r="AA895" i="4"/>
  <c r="AA894" i="4"/>
  <c r="AA893" i="4"/>
  <c r="AA892" i="4"/>
  <c r="AA891" i="4"/>
  <c r="AA890" i="4"/>
  <c r="AA889" i="4"/>
  <c r="AA888" i="4"/>
  <c r="AA887" i="4"/>
  <c r="AA886" i="4"/>
  <c r="AA885" i="4"/>
  <c r="AA884" i="4"/>
  <c r="AA883" i="4"/>
  <c r="AA882" i="4"/>
  <c r="AA881" i="4"/>
  <c r="AA880" i="4"/>
  <c r="AA879" i="4"/>
  <c r="AA878" i="4"/>
  <c r="AA877" i="4"/>
  <c r="AA876" i="4"/>
  <c r="AA875" i="4"/>
  <c r="AA874" i="4"/>
  <c r="AA873" i="4"/>
  <c r="AA872" i="4"/>
  <c r="AA871" i="4"/>
  <c r="AA870" i="4"/>
  <c r="AA869" i="4"/>
  <c r="AA868" i="4"/>
  <c r="AA867" i="4"/>
  <c r="AA866" i="4"/>
  <c r="AA865" i="4"/>
  <c r="AA864" i="4"/>
  <c r="AA863" i="4"/>
  <c r="AA862" i="4"/>
  <c r="AA861" i="4"/>
  <c r="AA860" i="4"/>
  <c r="AA859" i="4"/>
  <c r="AA858" i="4"/>
  <c r="AA857" i="4"/>
  <c r="AA856" i="4"/>
  <c r="AA855" i="4"/>
  <c r="AA854" i="4"/>
  <c r="AA853" i="4"/>
  <c r="AA852" i="4"/>
  <c r="AA851" i="4"/>
  <c r="AA850" i="4"/>
  <c r="AA849" i="4"/>
  <c r="AA848" i="4"/>
  <c r="AA847" i="4"/>
  <c r="AA846" i="4"/>
  <c r="AA845" i="4"/>
  <c r="AA844" i="4"/>
  <c r="AA843" i="4"/>
  <c r="AA842" i="4"/>
  <c r="AA841" i="4"/>
  <c r="AA840" i="4"/>
  <c r="AA839" i="4"/>
  <c r="AA838" i="4"/>
  <c r="AA837" i="4"/>
  <c r="AA836" i="4"/>
  <c r="AA835" i="4"/>
  <c r="AA834" i="4"/>
  <c r="AA833" i="4"/>
  <c r="AA832" i="4"/>
  <c r="AA831" i="4"/>
  <c r="AA830" i="4"/>
  <c r="AA829" i="4"/>
  <c r="AA828" i="4"/>
  <c r="AA827" i="4"/>
  <c r="AA826" i="4"/>
  <c r="AA825" i="4"/>
  <c r="AA824" i="4"/>
  <c r="AA823" i="4"/>
  <c r="AA822" i="4"/>
  <c r="AA821" i="4"/>
  <c r="AA820" i="4"/>
  <c r="AA819" i="4"/>
  <c r="AA818" i="4"/>
  <c r="AA817" i="4"/>
  <c r="AA816" i="4"/>
  <c r="AA815" i="4"/>
  <c r="AA814" i="4"/>
  <c r="AA813" i="4"/>
  <c r="AA812" i="4"/>
  <c r="AA811" i="4"/>
  <c r="AA810" i="4"/>
  <c r="AA809" i="4"/>
  <c r="AA808" i="4"/>
  <c r="AA807" i="4"/>
  <c r="AA806" i="4"/>
  <c r="AA805" i="4"/>
  <c r="AA804" i="4"/>
  <c r="AA803" i="4"/>
  <c r="AA802" i="4"/>
  <c r="AA801" i="4"/>
  <c r="AA800" i="4"/>
  <c r="AA799" i="4"/>
  <c r="AA798" i="4"/>
  <c r="AA797" i="4"/>
  <c r="AA796" i="4"/>
  <c r="AA795" i="4"/>
  <c r="AA794" i="4"/>
  <c r="AA793" i="4"/>
  <c r="AA792" i="4"/>
  <c r="AA791" i="4"/>
  <c r="AA790" i="4"/>
  <c r="AA789" i="4"/>
  <c r="AA788" i="4"/>
  <c r="AA787" i="4"/>
  <c r="AA786" i="4"/>
  <c r="AA785" i="4"/>
  <c r="AA784" i="4"/>
  <c r="AA783" i="4"/>
  <c r="AA782" i="4"/>
  <c r="AA781" i="4"/>
  <c r="AA780" i="4"/>
  <c r="AA779" i="4"/>
  <c r="AA778" i="4"/>
  <c r="AA777" i="4"/>
  <c r="AA776" i="4"/>
  <c r="AA775" i="4"/>
  <c r="AA774" i="4"/>
  <c r="AA773" i="4"/>
  <c r="AA772" i="4"/>
  <c r="AA771" i="4"/>
  <c r="AA770" i="4"/>
  <c r="AA769" i="4"/>
  <c r="AA768" i="4"/>
  <c r="AA767" i="4"/>
  <c r="AA766" i="4"/>
  <c r="AA765" i="4"/>
  <c r="AA764" i="4"/>
  <c r="AA763" i="4"/>
  <c r="AA762" i="4"/>
  <c r="AA761" i="4"/>
  <c r="AA760" i="4"/>
  <c r="AA759" i="4"/>
  <c r="AA758" i="4"/>
  <c r="AA757" i="4"/>
  <c r="AA756" i="4"/>
  <c r="AA755" i="4"/>
  <c r="AA754" i="4"/>
  <c r="AA753" i="4"/>
  <c r="AA752" i="4"/>
  <c r="AA751" i="4"/>
  <c r="AA750" i="4"/>
  <c r="AA749" i="4"/>
  <c r="AA748" i="4"/>
  <c r="AA747" i="4"/>
  <c r="AA746" i="4"/>
  <c r="AA745" i="4"/>
  <c r="AA744" i="4"/>
  <c r="AA743" i="4"/>
  <c r="AA742" i="4"/>
  <c r="AA741" i="4"/>
  <c r="AA740" i="4"/>
  <c r="AA739" i="4"/>
  <c r="AA738" i="4"/>
  <c r="AA737" i="4"/>
  <c r="AA736" i="4"/>
  <c r="AA735" i="4"/>
  <c r="AA734" i="4"/>
  <c r="AA733" i="4"/>
  <c r="AA732" i="4"/>
  <c r="AA731" i="4"/>
  <c r="AA730" i="4"/>
  <c r="AA729" i="4"/>
  <c r="AA728" i="4"/>
  <c r="AA727" i="4"/>
  <c r="AA726" i="4"/>
  <c r="AA725" i="4"/>
  <c r="AA724" i="4"/>
  <c r="AA723" i="4"/>
  <c r="AA722" i="4"/>
  <c r="AA721" i="4"/>
  <c r="AA720" i="4"/>
  <c r="AA719" i="4"/>
  <c r="AA718" i="4"/>
  <c r="AA717" i="4"/>
  <c r="AA716" i="4"/>
  <c r="AA715" i="4"/>
  <c r="AA714" i="4"/>
  <c r="AA713" i="4"/>
  <c r="AA712" i="4"/>
  <c r="AA711" i="4"/>
  <c r="AA710" i="4"/>
  <c r="AA709" i="4"/>
  <c r="AA708" i="4"/>
  <c r="AA707" i="4"/>
  <c r="AA706" i="4"/>
  <c r="AA705" i="4"/>
  <c r="AA704" i="4"/>
  <c r="AA703" i="4"/>
  <c r="AA702" i="4"/>
  <c r="AA701" i="4"/>
  <c r="AA700" i="4"/>
  <c r="AA699" i="4"/>
  <c r="AA698" i="4"/>
  <c r="AA697" i="4"/>
  <c r="AA696" i="4"/>
  <c r="AA695" i="4"/>
  <c r="AA694" i="4"/>
  <c r="AA693" i="4"/>
  <c r="AA692" i="4"/>
  <c r="AA691" i="4"/>
  <c r="AA690" i="4"/>
  <c r="AA689" i="4"/>
  <c r="AA688" i="4"/>
  <c r="AA687" i="4"/>
  <c r="AA686" i="4"/>
  <c r="AA685" i="4"/>
  <c r="AA684" i="4"/>
  <c r="AA683" i="4"/>
  <c r="AA682" i="4"/>
  <c r="AA681" i="4"/>
  <c r="AA680" i="4"/>
  <c r="AA679" i="4"/>
  <c r="AA678" i="4"/>
  <c r="AA677" i="4"/>
  <c r="AA676" i="4"/>
  <c r="AA675" i="4"/>
  <c r="AA674" i="4"/>
  <c r="AA673" i="4"/>
  <c r="AA672" i="4"/>
  <c r="AA671" i="4"/>
  <c r="AA670" i="4"/>
  <c r="AA669" i="4"/>
  <c r="AA668" i="4"/>
  <c r="AA667" i="4"/>
  <c r="AA666" i="4"/>
  <c r="AA665" i="4"/>
  <c r="AA664" i="4"/>
  <c r="AA663" i="4"/>
  <c r="AA662" i="4"/>
  <c r="AA661" i="4"/>
  <c r="AA660" i="4"/>
  <c r="AA659" i="4"/>
  <c r="AA658" i="4"/>
  <c r="AA657" i="4"/>
  <c r="AA656" i="4"/>
  <c r="AA655" i="4"/>
  <c r="AA654" i="4"/>
  <c r="AA653" i="4"/>
  <c r="AA652" i="4"/>
  <c r="AA651" i="4"/>
  <c r="AA650" i="4"/>
  <c r="AA649" i="4"/>
  <c r="AA648" i="4"/>
  <c r="AA647" i="4"/>
  <c r="AA646" i="4"/>
  <c r="AA645" i="4"/>
  <c r="AA644" i="4"/>
  <c r="AA643" i="4"/>
  <c r="AA642" i="4"/>
  <c r="AA641" i="4"/>
  <c r="AA640" i="4"/>
  <c r="AA639" i="4"/>
  <c r="AA638" i="4"/>
  <c r="AA637" i="4"/>
  <c r="AA636" i="4"/>
  <c r="AA635" i="4"/>
  <c r="AA634" i="4"/>
  <c r="AA633" i="4"/>
  <c r="AA632" i="4"/>
  <c r="AA631" i="4"/>
  <c r="AA630" i="4"/>
  <c r="AA629" i="4"/>
  <c r="AA628" i="4"/>
  <c r="AA627" i="4"/>
  <c r="AA626" i="4"/>
  <c r="AA625" i="4"/>
  <c r="AA624" i="4"/>
  <c r="AA623" i="4"/>
  <c r="AA622" i="4"/>
  <c r="AA621" i="4"/>
  <c r="AA620" i="4"/>
  <c r="AA619" i="4"/>
  <c r="AA618" i="4"/>
  <c r="AA617" i="4"/>
  <c r="AA616" i="4"/>
  <c r="AA615" i="4"/>
  <c r="AA614" i="4"/>
  <c r="AA613" i="4"/>
  <c r="AA612" i="4"/>
  <c r="AA611" i="4"/>
  <c r="AA610" i="4"/>
  <c r="AA609" i="4"/>
  <c r="AA608" i="4"/>
  <c r="AA607" i="4"/>
  <c r="AA606" i="4"/>
  <c r="AA605" i="4"/>
  <c r="AA604" i="4"/>
  <c r="AA603" i="4"/>
  <c r="AA602" i="4"/>
  <c r="AA601" i="4"/>
  <c r="AA600" i="4"/>
  <c r="AA599" i="4"/>
  <c r="AA598" i="4"/>
  <c r="AA597" i="4"/>
  <c r="AA596" i="4"/>
  <c r="AA595" i="4"/>
  <c r="AA594" i="4"/>
  <c r="AA593" i="4"/>
  <c r="AA592" i="4"/>
  <c r="AA591" i="4"/>
  <c r="AA590" i="4"/>
  <c r="AA589" i="4"/>
  <c r="AA588" i="4"/>
  <c r="AA587" i="4"/>
  <c r="AA586" i="4"/>
  <c r="AA585" i="4"/>
  <c r="AA584" i="4"/>
  <c r="AA583" i="4"/>
  <c r="AA582" i="4"/>
  <c r="AA581" i="4"/>
  <c r="AA580" i="4"/>
  <c r="AA579" i="4"/>
  <c r="AA578" i="4"/>
  <c r="AA577" i="4"/>
  <c r="AA576" i="4"/>
  <c r="AA575" i="4"/>
  <c r="AA574" i="4"/>
  <c r="AA573" i="4"/>
  <c r="AA572" i="4"/>
  <c r="AA571" i="4"/>
  <c r="AA570" i="4"/>
  <c r="AA569" i="4"/>
  <c r="AA568" i="4"/>
  <c r="AA567" i="4"/>
  <c r="AA566" i="4"/>
  <c r="AA565" i="4"/>
  <c r="AA564" i="4"/>
  <c r="AA563" i="4"/>
  <c r="AA562" i="4"/>
  <c r="AA561" i="4"/>
  <c r="AA560" i="4"/>
  <c r="AA559" i="4"/>
  <c r="AA558" i="4"/>
  <c r="AA557" i="4"/>
  <c r="AA556" i="4"/>
  <c r="AA555" i="4"/>
  <c r="AA554" i="4"/>
  <c r="AA553" i="4"/>
  <c r="AA552" i="4"/>
  <c r="AA551" i="4"/>
  <c r="AA550" i="4"/>
  <c r="AA549" i="4"/>
  <c r="AA548" i="4"/>
  <c r="AA547" i="4"/>
  <c r="AA546" i="4"/>
  <c r="AA545" i="4"/>
  <c r="AA544" i="4"/>
  <c r="AA543" i="4"/>
  <c r="AA542" i="4"/>
  <c r="AA541" i="4"/>
  <c r="AA540" i="4"/>
  <c r="AA539" i="4"/>
  <c r="AA538" i="4"/>
  <c r="AA537" i="4"/>
  <c r="AA536" i="4"/>
  <c r="AA535" i="4"/>
  <c r="AA534" i="4"/>
  <c r="AA533" i="4"/>
  <c r="AA532" i="4"/>
  <c r="AA531" i="4"/>
  <c r="AA530" i="4"/>
  <c r="AA529" i="4"/>
  <c r="AA528" i="4"/>
  <c r="AA527" i="4"/>
  <c r="AA526" i="4"/>
  <c r="AA525" i="4"/>
  <c r="AA524" i="4"/>
  <c r="AA523" i="4"/>
  <c r="AA522" i="4"/>
  <c r="AA521" i="4"/>
  <c r="AA520" i="4"/>
  <c r="AA519" i="4"/>
  <c r="AA518" i="4"/>
  <c r="AA517" i="4"/>
  <c r="AA516" i="4"/>
  <c r="AA515" i="4"/>
  <c r="AA514" i="4"/>
  <c r="AA513" i="4"/>
  <c r="AA512" i="4"/>
  <c r="AA511" i="4"/>
  <c r="AA510" i="4"/>
  <c r="AA509" i="4"/>
  <c r="AA508" i="4"/>
  <c r="AA507" i="4"/>
  <c r="AA506" i="4"/>
  <c r="AA505" i="4"/>
  <c r="AA504" i="4"/>
  <c r="AA503" i="4"/>
  <c r="AA502" i="4"/>
  <c r="AA501" i="4"/>
  <c r="AA500" i="4"/>
  <c r="AA499" i="4"/>
  <c r="AA498" i="4"/>
  <c r="AA497" i="4"/>
  <c r="AA496" i="4"/>
  <c r="AA495" i="4"/>
  <c r="AA494" i="4"/>
  <c r="AA493" i="4"/>
  <c r="AA492" i="4"/>
  <c r="AA491" i="4"/>
  <c r="AA490" i="4"/>
  <c r="AA489" i="4"/>
  <c r="AA488" i="4"/>
  <c r="AA487" i="4"/>
  <c r="AA486" i="4"/>
  <c r="AA485" i="4"/>
  <c r="AA484" i="4"/>
  <c r="AA483" i="4"/>
  <c r="AA482" i="4"/>
  <c r="AA481" i="4"/>
  <c r="AA480" i="4"/>
  <c r="AA479" i="4"/>
  <c r="AA478" i="4"/>
  <c r="AA477" i="4"/>
  <c r="AA476" i="4"/>
  <c r="AA475" i="4"/>
  <c r="AA474" i="4"/>
  <c r="AA473" i="4"/>
  <c r="AA472" i="4"/>
  <c r="AA471" i="4"/>
  <c r="AA470" i="4"/>
  <c r="AA469" i="4"/>
  <c r="AA468" i="4"/>
  <c r="AA467" i="4"/>
  <c r="AA466" i="4"/>
  <c r="AA465" i="4"/>
  <c r="AA464" i="4"/>
  <c r="AA463" i="4"/>
  <c r="AA462" i="4"/>
  <c r="AA461" i="4"/>
  <c r="AA460" i="4"/>
  <c r="AA459" i="4"/>
  <c r="AA458" i="4"/>
  <c r="AA457" i="4"/>
  <c r="AA456" i="4"/>
  <c r="AA455" i="4"/>
  <c r="AA454" i="4"/>
  <c r="AA453" i="4"/>
  <c r="AA452" i="4"/>
  <c r="AA451" i="4"/>
  <c r="AA450" i="4"/>
  <c r="AA449" i="4"/>
  <c r="AA448" i="4"/>
  <c r="AA447" i="4"/>
  <c r="AA446" i="4"/>
  <c r="AA445" i="4"/>
  <c r="AA444" i="4"/>
  <c r="AA443" i="4"/>
  <c r="AA442" i="4"/>
  <c r="AA441" i="4"/>
  <c r="AA440" i="4"/>
  <c r="AA439" i="4"/>
  <c r="AA438" i="4"/>
  <c r="AA437" i="4"/>
  <c r="AA436" i="4"/>
  <c r="AA435" i="4"/>
  <c r="AA434" i="4"/>
  <c r="AA433" i="4"/>
  <c r="AA432" i="4"/>
  <c r="AA431" i="4"/>
  <c r="AA430" i="4"/>
  <c r="AA429" i="4"/>
  <c r="AA428" i="4"/>
  <c r="AA427" i="4"/>
  <c r="AA426" i="4"/>
  <c r="AA425" i="4"/>
  <c r="AA424" i="4"/>
  <c r="AA423" i="4"/>
  <c r="AA422" i="4"/>
  <c r="AA421" i="4"/>
  <c r="AA420" i="4"/>
  <c r="AA419" i="4"/>
  <c r="AA418" i="4"/>
  <c r="AA417" i="4"/>
  <c r="AA416" i="4"/>
  <c r="AA415" i="4"/>
  <c r="AA414" i="4"/>
  <c r="AA413" i="4"/>
  <c r="AA412" i="4"/>
  <c r="AA411" i="4"/>
  <c r="AA410" i="4"/>
  <c r="AA409" i="4"/>
  <c r="AA408" i="4"/>
  <c r="AA407" i="4"/>
  <c r="AA406" i="4"/>
  <c r="AA405" i="4"/>
  <c r="AA404" i="4"/>
  <c r="AA403" i="4"/>
  <c r="AA402" i="4"/>
  <c r="AA401" i="4"/>
  <c r="AA400" i="4"/>
  <c r="AA399" i="4"/>
  <c r="AA398" i="4"/>
  <c r="AA397" i="4"/>
  <c r="AA396" i="4"/>
  <c r="AA395" i="4"/>
  <c r="AA394" i="4"/>
  <c r="AA393" i="4"/>
  <c r="AA392" i="4"/>
  <c r="AA391" i="4"/>
  <c r="AA390" i="4"/>
  <c r="AA389" i="4"/>
  <c r="AA388" i="4"/>
  <c r="AA387" i="4"/>
  <c r="AA386" i="4"/>
  <c r="AA385" i="4"/>
  <c r="AA384" i="4"/>
  <c r="AA383" i="4"/>
  <c r="AA382" i="4"/>
  <c r="AA381" i="4"/>
  <c r="AA380" i="4"/>
  <c r="AA379" i="4"/>
  <c r="AA378" i="4"/>
  <c r="AA377" i="4"/>
  <c r="AA376" i="4"/>
  <c r="AA375" i="4"/>
  <c r="AA374" i="4"/>
  <c r="AA373" i="4"/>
  <c r="AA372" i="4"/>
  <c r="AA371" i="4"/>
  <c r="AA370" i="4"/>
  <c r="AA369" i="4"/>
  <c r="AA368" i="4"/>
  <c r="AA367" i="4"/>
  <c r="AA366" i="4"/>
  <c r="AA365" i="4"/>
  <c r="AA364" i="4"/>
  <c r="AA363" i="4"/>
  <c r="AA362" i="4"/>
  <c r="AA361" i="4"/>
  <c r="AA360" i="4"/>
  <c r="AA359" i="4"/>
  <c r="AA358" i="4"/>
  <c r="AA357" i="4"/>
  <c r="AA356" i="4"/>
  <c r="AA355" i="4"/>
  <c r="AA354" i="4"/>
  <c r="AA353" i="4"/>
  <c r="AA352" i="4"/>
  <c r="AA351" i="4"/>
  <c r="AA350" i="4"/>
  <c r="AA349" i="4"/>
  <c r="AA348" i="4"/>
  <c r="AA347" i="4"/>
  <c r="AA346" i="4"/>
  <c r="AA345" i="4"/>
  <c r="AA344" i="4"/>
  <c r="AA343" i="4"/>
  <c r="AA342" i="4"/>
  <c r="AA341" i="4"/>
  <c r="AA340" i="4"/>
  <c r="AA339" i="4"/>
  <c r="AA338" i="4"/>
  <c r="AA337" i="4"/>
  <c r="AA336" i="4"/>
  <c r="AA335" i="4"/>
  <c r="AA334" i="4"/>
  <c r="AA333" i="4"/>
  <c r="AA332" i="4"/>
  <c r="AA331" i="4"/>
  <c r="AA330" i="4"/>
  <c r="AA329" i="4"/>
  <c r="AA328" i="4"/>
  <c r="AA327" i="4"/>
  <c r="AA326" i="4"/>
  <c r="AA325" i="4"/>
  <c r="AA324" i="4"/>
  <c r="AA323" i="4"/>
  <c r="AA322" i="4"/>
  <c r="AA321" i="4"/>
  <c r="AA320" i="4"/>
  <c r="AA319" i="4"/>
  <c r="AA318" i="4"/>
  <c r="AA317" i="4"/>
  <c r="AA316" i="4"/>
  <c r="AA315" i="4"/>
  <c r="AA314" i="4"/>
  <c r="AA313" i="4"/>
  <c r="AA312" i="4"/>
  <c r="AA311" i="4"/>
  <c r="AA310" i="4"/>
  <c r="AA309" i="4"/>
  <c r="AA308" i="4"/>
  <c r="AA307" i="4"/>
  <c r="AA306" i="4"/>
  <c r="AA305" i="4"/>
  <c r="AA304" i="4"/>
  <c r="AA303" i="4"/>
  <c r="AA302" i="4"/>
  <c r="AA301" i="4"/>
  <c r="AA300" i="4"/>
  <c r="AA299" i="4"/>
  <c r="AA298" i="4"/>
  <c r="AA297" i="4"/>
  <c r="AA296" i="4"/>
  <c r="AA295" i="4"/>
  <c r="AA294" i="4"/>
  <c r="AA293" i="4"/>
  <c r="AA292" i="4"/>
  <c r="AA291" i="4"/>
  <c r="AA290" i="4"/>
  <c r="AA289" i="4"/>
  <c r="AA288" i="4"/>
  <c r="AA287" i="4"/>
  <c r="AA286" i="4"/>
  <c r="AA285" i="4"/>
  <c r="AA284" i="4"/>
  <c r="AA283" i="4"/>
  <c r="AA282" i="4"/>
  <c r="AA281" i="4"/>
  <c r="AA280" i="4"/>
  <c r="AA279" i="4"/>
  <c r="AA278" i="4"/>
  <c r="AA277" i="4"/>
  <c r="AA276" i="4"/>
  <c r="AA275" i="4"/>
  <c r="AA274" i="4"/>
  <c r="AA273" i="4"/>
  <c r="AA272" i="4"/>
  <c r="AA271" i="4"/>
  <c r="AA270" i="4"/>
  <c r="AA269" i="4"/>
  <c r="AA268" i="4"/>
  <c r="AA267" i="4"/>
  <c r="AA266" i="4"/>
  <c r="AA265" i="4"/>
  <c r="AA264" i="4"/>
  <c r="AA263" i="4"/>
  <c r="AA262" i="4"/>
  <c r="AA261" i="4"/>
  <c r="AA260" i="4"/>
  <c r="AA259" i="4"/>
  <c r="AA258" i="4"/>
  <c r="AA257" i="4"/>
  <c r="AA256" i="4"/>
  <c r="AA255" i="4"/>
  <c r="AA254" i="4"/>
  <c r="AA253" i="4"/>
  <c r="AA252" i="4"/>
  <c r="AA251" i="4"/>
  <c r="AA250" i="4"/>
  <c r="AA249" i="4"/>
  <c r="AA248" i="4"/>
  <c r="AA247" i="4"/>
  <c r="AA246" i="4"/>
  <c r="AA245" i="4"/>
  <c r="AA244" i="4"/>
  <c r="AA243" i="4"/>
  <c r="AA242" i="4"/>
  <c r="AA241" i="4"/>
  <c r="AA240" i="4"/>
  <c r="AA239" i="4"/>
  <c r="AA238" i="4"/>
  <c r="AA237" i="4"/>
  <c r="AA236" i="4"/>
  <c r="AA235" i="4"/>
  <c r="AA234" i="4"/>
  <c r="AA233" i="4"/>
  <c r="AA232" i="4"/>
  <c r="AA231" i="4"/>
  <c r="AA230" i="4"/>
  <c r="AA229" i="4"/>
  <c r="AA228" i="4"/>
  <c r="AA227" i="4"/>
  <c r="AA226" i="4"/>
  <c r="AA225" i="4"/>
  <c r="AA224" i="4"/>
  <c r="AA223" i="4"/>
  <c r="AA222" i="4"/>
  <c r="AA221" i="4"/>
  <c r="AA220" i="4"/>
  <c r="AA219" i="4"/>
  <c r="AA218" i="4"/>
  <c r="AA217" i="4"/>
  <c r="AA216" i="4"/>
  <c r="AA215" i="4"/>
  <c r="AA214" i="4"/>
  <c r="AA213" i="4"/>
  <c r="AA212" i="4"/>
  <c r="AA211" i="4"/>
  <c r="AA210" i="4"/>
  <c r="AA209" i="4"/>
  <c r="AA208" i="4"/>
  <c r="AA207" i="4"/>
  <c r="AA206" i="4"/>
  <c r="AA205" i="4"/>
  <c r="AA204" i="4"/>
  <c r="AA203" i="4"/>
  <c r="AA202" i="4"/>
  <c r="AA201" i="4"/>
  <c r="AA200" i="4"/>
  <c r="AA199" i="4"/>
  <c r="AA198" i="4"/>
  <c r="AA197" i="4"/>
  <c r="AA196" i="4"/>
  <c r="AA195" i="4"/>
  <c r="AA194" i="4"/>
  <c r="AA193" i="4"/>
  <c r="AA192" i="4"/>
  <c r="AA191" i="4"/>
  <c r="AA190" i="4"/>
  <c r="AA189" i="4"/>
  <c r="AA188" i="4"/>
  <c r="AA187" i="4"/>
  <c r="AA186" i="4"/>
  <c r="AA185" i="4"/>
  <c r="AA184" i="4"/>
  <c r="AA183" i="4"/>
  <c r="AA182" i="4"/>
  <c r="AA181" i="4"/>
  <c r="AA180" i="4"/>
  <c r="AA179" i="4"/>
  <c r="AA178" i="4"/>
  <c r="AA177" i="4"/>
  <c r="AA176" i="4"/>
  <c r="AA175" i="4"/>
  <c r="AA174" i="4"/>
  <c r="AA173" i="4"/>
  <c r="AA172" i="4"/>
  <c r="AA171" i="4"/>
  <c r="AA170" i="4"/>
  <c r="AA169" i="4"/>
  <c r="AA168" i="4"/>
  <c r="AA167" i="4"/>
  <c r="AA166" i="4"/>
  <c r="AA165" i="4"/>
  <c r="AA164" i="4"/>
  <c r="AA163" i="4"/>
  <c r="AA162" i="4"/>
  <c r="AA161" i="4"/>
  <c r="AA160" i="4"/>
  <c r="AA159" i="4"/>
  <c r="AA158" i="4"/>
  <c r="AA157" i="4"/>
  <c r="AA156" i="4"/>
  <c r="AA155" i="4"/>
  <c r="AA154" i="4"/>
  <c r="AA153" i="4"/>
  <c r="AA152" i="4"/>
  <c r="AA151" i="4"/>
  <c r="AA150" i="4"/>
  <c r="AA149" i="4"/>
  <c r="AA148" i="4"/>
  <c r="AA147" i="4"/>
  <c r="AA146" i="4"/>
  <c r="AA145" i="4"/>
  <c r="AA144" i="4"/>
  <c r="AA143" i="4"/>
  <c r="AA142" i="4"/>
  <c r="AA141" i="4"/>
  <c r="AA140" i="4"/>
  <c r="AA139" i="4"/>
  <c r="AA138" i="4"/>
  <c r="AA137" i="4"/>
  <c r="AA136" i="4"/>
  <c r="AA135" i="4"/>
  <c r="AA134" i="4"/>
  <c r="AA133" i="4"/>
  <c r="AA132" i="4"/>
  <c r="AA131" i="4"/>
  <c r="AA130" i="4"/>
  <c r="AA129" i="4"/>
  <c r="AA128" i="4"/>
  <c r="AA127" i="4"/>
  <c r="AA126" i="4"/>
  <c r="AA125" i="4"/>
  <c r="AA124" i="4"/>
  <c r="AA123" i="4"/>
  <c r="AA122" i="4"/>
  <c r="AA121" i="4"/>
  <c r="AA120" i="4"/>
  <c r="AA119" i="4"/>
  <c r="AA118" i="4"/>
  <c r="AA117" i="4"/>
  <c r="AA116" i="4"/>
  <c r="AA115" i="4"/>
  <c r="AA114" i="4"/>
  <c r="AA113" i="4"/>
  <c r="AA112" i="4"/>
  <c r="AA111" i="4"/>
  <c r="AA110" i="4"/>
  <c r="AA109" i="4"/>
  <c r="AA108" i="4"/>
  <c r="AA107" i="4"/>
  <c r="AA106" i="4"/>
  <c r="AA105" i="4"/>
  <c r="AA104" i="4"/>
  <c r="AA103" i="4"/>
  <c r="AA102" i="4"/>
  <c r="AA101" i="4"/>
  <c r="AA100" i="4"/>
  <c r="AA99" i="4"/>
  <c r="AA98" i="4"/>
  <c r="AA97" i="4"/>
  <c r="AA96" i="4"/>
  <c r="AA95" i="4"/>
  <c r="AA94" i="4"/>
  <c r="AA93" i="4"/>
  <c r="AA92" i="4"/>
  <c r="AA91" i="4"/>
  <c r="AA90" i="4"/>
  <c r="AA89" i="4"/>
  <c r="AA88" i="4"/>
  <c r="AA87" i="4"/>
  <c r="AA86" i="4"/>
  <c r="AA85" i="4"/>
  <c r="AA84" i="4"/>
  <c r="AA83" i="4"/>
  <c r="AA82" i="4"/>
  <c r="AA81" i="4"/>
  <c r="AA80" i="4"/>
  <c r="AA79" i="4"/>
  <c r="AA78" i="4"/>
  <c r="AA77" i="4"/>
  <c r="AA76" i="4"/>
  <c r="AA75" i="4"/>
  <c r="AA74" i="4"/>
  <c r="AA73" i="4"/>
  <c r="AA72" i="4"/>
  <c r="AA71" i="4"/>
  <c r="AA70" i="4"/>
  <c r="AA69" i="4"/>
  <c r="AA68" i="4"/>
  <c r="AA67" i="4"/>
  <c r="AA66" i="4"/>
  <c r="AA65" i="4"/>
  <c r="AA64" i="4"/>
  <c r="AA63" i="4"/>
  <c r="AA62" i="4"/>
  <c r="AA61" i="4"/>
  <c r="AA60" i="4"/>
  <c r="AA59" i="4"/>
  <c r="AA58" i="4"/>
  <c r="AA57" i="4"/>
  <c r="AA56" i="4"/>
  <c r="AA55" i="4"/>
  <c r="AA54" i="4"/>
  <c r="AA53" i="4"/>
  <c r="AA52" i="4"/>
  <c r="AA51" i="4"/>
  <c r="AA50" i="4"/>
  <c r="AA49" i="4"/>
  <c r="AA48" i="4"/>
  <c r="AA47" i="4"/>
  <c r="AA46" i="4"/>
  <c r="AA45" i="4"/>
  <c r="AA44" i="4"/>
  <c r="AA43" i="4"/>
  <c r="AA42" i="4"/>
  <c r="AA41" i="4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25" i="4"/>
  <c r="AA24" i="4"/>
  <c r="AA23" i="4"/>
  <c r="AA22" i="4"/>
  <c r="AA21" i="4"/>
  <c r="AA20" i="4"/>
  <c r="AA19" i="4"/>
  <c r="AA18" i="4"/>
  <c r="AA17" i="4"/>
  <c r="AA16" i="4"/>
  <c r="AA15" i="4"/>
  <c r="AA14" i="4"/>
  <c r="AA13" i="4"/>
  <c r="AA12" i="4"/>
  <c r="AA11" i="4"/>
  <c r="AA10" i="4"/>
  <c r="AA9" i="4"/>
  <c r="AA1219" i="4"/>
  <c r="L19" i="4"/>
  <c r="L20" i="4"/>
  <c r="L30" i="4"/>
  <c r="L31" i="4"/>
  <c r="L1197" i="4" l="1"/>
  <c r="K1197" i="4"/>
  <c r="L1196" i="4"/>
  <c r="K1196" i="4"/>
  <c r="L1178" i="4"/>
  <c r="K1178" i="4"/>
  <c r="L1177" i="4"/>
  <c r="K1177" i="4"/>
  <c r="L1175" i="4"/>
  <c r="K1175" i="4"/>
  <c r="L1174" i="4"/>
  <c r="K1174" i="4"/>
  <c r="L1161" i="4"/>
  <c r="K1161" i="4"/>
  <c r="L1160" i="4"/>
  <c r="K1160" i="4"/>
  <c r="L1138" i="4"/>
  <c r="K1138" i="4"/>
  <c r="L1137" i="4"/>
  <c r="K1137" i="4"/>
  <c r="L1136" i="4"/>
  <c r="K1136" i="4"/>
  <c r="L1130" i="4"/>
  <c r="K1130" i="4"/>
  <c r="L1129" i="4"/>
  <c r="K1129" i="4"/>
  <c r="L1121" i="4"/>
  <c r="K1121" i="4"/>
  <c r="L1120" i="4"/>
  <c r="K1120" i="4"/>
  <c r="L1114" i="4"/>
  <c r="K1114" i="4"/>
  <c r="L1113" i="4"/>
  <c r="K1113" i="4"/>
  <c r="L1100" i="4"/>
  <c r="K1100" i="4"/>
  <c r="L1099" i="4"/>
  <c r="K1099" i="4"/>
  <c r="L1087" i="4"/>
  <c r="K1087" i="4"/>
  <c r="L1086" i="4"/>
  <c r="K1086" i="4"/>
  <c r="L1085" i="4"/>
  <c r="K1085" i="4"/>
  <c r="L1068" i="4"/>
  <c r="K1068" i="4"/>
  <c r="L1067" i="4"/>
  <c r="K1067" i="4"/>
  <c r="L1066" i="4"/>
  <c r="K1066" i="4"/>
  <c r="L1063" i="4"/>
  <c r="K1063" i="4"/>
  <c r="L1062" i="4"/>
  <c r="K1062" i="4"/>
  <c r="L1052" i="4"/>
  <c r="K1052" i="4"/>
  <c r="L1051" i="4"/>
  <c r="K1051" i="4"/>
  <c r="L1050" i="4"/>
  <c r="K1050" i="4"/>
  <c r="L1046" i="4"/>
  <c r="K1046" i="4"/>
  <c r="L1045" i="4"/>
  <c r="K1045" i="4"/>
  <c r="L1038" i="4"/>
  <c r="K1038" i="4"/>
  <c r="L1037" i="4"/>
  <c r="K1037" i="4"/>
  <c r="L1030" i="4"/>
  <c r="K1030" i="4"/>
  <c r="L1029" i="4"/>
  <c r="K1029" i="4"/>
  <c r="L1027" i="4"/>
  <c r="K1027" i="4"/>
  <c r="L1026" i="4"/>
  <c r="K1026" i="4"/>
  <c r="L1024" i="4"/>
  <c r="K1024" i="4"/>
  <c r="L1023" i="4"/>
  <c r="K1023" i="4"/>
  <c r="L1017" i="4"/>
  <c r="K1017" i="4"/>
  <c r="L1016" i="4"/>
  <c r="K1016" i="4"/>
  <c r="L1015" i="4"/>
  <c r="K1015" i="4"/>
  <c r="L1010" i="4"/>
  <c r="K1010" i="4"/>
  <c r="L1009" i="4"/>
  <c r="K1009" i="4"/>
  <c r="L1007" i="4"/>
  <c r="K1007" i="4"/>
  <c r="L1006" i="4"/>
  <c r="K1006" i="4"/>
  <c r="L996" i="4"/>
  <c r="K996" i="4"/>
  <c r="L995" i="4"/>
  <c r="K995" i="4"/>
  <c r="L986" i="4"/>
  <c r="K986" i="4"/>
  <c r="L985" i="4"/>
  <c r="K985" i="4"/>
  <c r="L983" i="4"/>
  <c r="K983" i="4"/>
  <c r="L982" i="4"/>
  <c r="K982" i="4"/>
  <c r="L981" i="4"/>
  <c r="K981" i="4"/>
  <c r="L966" i="4"/>
  <c r="K966" i="4"/>
  <c r="L965" i="4"/>
  <c r="K965" i="4"/>
  <c r="L960" i="4"/>
  <c r="K960" i="4"/>
  <c r="L959" i="4"/>
  <c r="K959" i="4"/>
  <c r="L953" i="4"/>
  <c r="K953" i="4"/>
  <c r="L952" i="4"/>
  <c r="K952" i="4"/>
  <c r="L950" i="4"/>
  <c r="K950" i="4"/>
  <c r="L949" i="4"/>
  <c r="K949" i="4"/>
  <c r="L938" i="4"/>
  <c r="K938" i="4"/>
  <c r="L937" i="4"/>
  <c r="K937" i="4"/>
  <c r="L936" i="4"/>
  <c r="K936" i="4"/>
  <c r="L934" i="4"/>
  <c r="K934" i="4"/>
  <c r="L933" i="4"/>
  <c r="K933" i="4"/>
  <c r="L930" i="4"/>
  <c r="K930" i="4"/>
  <c r="L929" i="4"/>
  <c r="K929" i="4"/>
  <c r="L924" i="4"/>
  <c r="K924" i="4"/>
  <c r="L923" i="4"/>
  <c r="K923" i="4"/>
  <c r="L922" i="4"/>
  <c r="K922" i="4"/>
  <c r="L908" i="4"/>
  <c r="K908" i="4"/>
  <c r="L907" i="4"/>
  <c r="K907" i="4"/>
  <c r="L906" i="4"/>
  <c r="K906" i="4"/>
  <c r="L904" i="4"/>
  <c r="K904" i="4"/>
  <c r="L903" i="4"/>
  <c r="K903" i="4"/>
  <c r="L900" i="4"/>
  <c r="K900" i="4"/>
  <c r="L899" i="4"/>
  <c r="K899" i="4"/>
  <c r="L894" i="4"/>
  <c r="K894" i="4"/>
  <c r="L893" i="4"/>
  <c r="K893" i="4"/>
  <c r="L887" i="4"/>
  <c r="K887" i="4"/>
  <c r="L886" i="4"/>
  <c r="K886" i="4"/>
  <c r="L883" i="4"/>
  <c r="K883" i="4"/>
  <c r="L882" i="4"/>
  <c r="K882" i="4"/>
  <c r="L874" i="4"/>
  <c r="K874" i="4"/>
  <c r="L873" i="4"/>
  <c r="K873" i="4"/>
  <c r="L867" i="4"/>
  <c r="K867" i="4"/>
  <c r="L866" i="4"/>
  <c r="K866" i="4"/>
  <c r="L865" i="4"/>
  <c r="K865" i="4"/>
  <c r="L858" i="4"/>
  <c r="K858" i="4"/>
  <c r="L857" i="4"/>
  <c r="K857" i="4"/>
  <c r="L847" i="4"/>
  <c r="K847" i="4"/>
  <c r="L846" i="4"/>
  <c r="K846" i="4"/>
  <c r="L843" i="4"/>
  <c r="K843" i="4"/>
  <c r="L842" i="4"/>
  <c r="K842" i="4"/>
  <c r="L833" i="4"/>
  <c r="K833" i="4"/>
  <c r="L832" i="4"/>
  <c r="K832" i="4"/>
  <c r="L831" i="4"/>
  <c r="K831" i="4"/>
  <c r="L828" i="4"/>
  <c r="K828" i="4"/>
  <c r="L827" i="4"/>
  <c r="K827" i="4"/>
  <c r="L821" i="4"/>
  <c r="K821" i="4"/>
  <c r="L820" i="4"/>
  <c r="K820" i="4"/>
  <c r="L816" i="4"/>
  <c r="K816" i="4"/>
  <c r="L815" i="4"/>
  <c r="K815" i="4"/>
  <c r="L814" i="4"/>
  <c r="K814" i="4"/>
  <c r="L812" i="4"/>
  <c r="K812" i="4"/>
  <c r="L811" i="4"/>
  <c r="K811" i="4"/>
  <c r="L808" i="4"/>
  <c r="K808" i="4"/>
  <c r="L807" i="4"/>
  <c r="K807" i="4"/>
  <c r="L802" i="4"/>
  <c r="K802" i="4"/>
  <c r="L801" i="4"/>
  <c r="K801" i="4"/>
  <c r="L797" i="4"/>
  <c r="K797" i="4"/>
  <c r="L796" i="4"/>
  <c r="K796" i="4"/>
  <c r="L792" i="4"/>
  <c r="K792" i="4"/>
  <c r="L791" i="4"/>
  <c r="K791" i="4"/>
  <c r="L788" i="4"/>
  <c r="K788" i="4"/>
  <c r="L787" i="4"/>
  <c r="K787" i="4"/>
  <c r="L786" i="4"/>
  <c r="K786" i="4"/>
  <c r="L781" i="4"/>
  <c r="K781" i="4"/>
  <c r="L780" i="4"/>
  <c r="K780" i="4"/>
  <c r="L763" i="4"/>
  <c r="K763" i="4"/>
  <c r="L762" i="4"/>
  <c r="K762" i="4"/>
  <c r="L753" i="4"/>
  <c r="K753" i="4"/>
  <c r="L752" i="4"/>
  <c r="K752" i="4"/>
  <c r="L735" i="4"/>
  <c r="K735" i="4"/>
  <c r="L734" i="4"/>
  <c r="K734" i="4"/>
  <c r="L721" i="4"/>
  <c r="K721" i="4"/>
  <c r="L720" i="4"/>
  <c r="K720" i="4"/>
  <c r="L706" i="4"/>
  <c r="K706" i="4"/>
  <c r="L705" i="4"/>
  <c r="K705" i="4"/>
  <c r="L704" i="4"/>
  <c r="K704" i="4"/>
  <c r="L699" i="4"/>
  <c r="K699" i="4"/>
  <c r="L698" i="4"/>
  <c r="K698" i="4"/>
  <c r="L696" i="4"/>
  <c r="K696" i="4"/>
  <c r="L695" i="4"/>
  <c r="K695" i="4"/>
  <c r="L690" i="4"/>
  <c r="K690" i="4"/>
  <c r="L689" i="4"/>
  <c r="K689" i="4"/>
  <c r="L688" i="4"/>
  <c r="K688" i="4"/>
  <c r="L674" i="4"/>
  <c r="K674" i="4"/>
  <c r="L673" i="4"/>
  <c r="K673" i="4"/>
  <c r="L659" i="4"/>
  <c r="K659" i="4"/>
  <c r="L658" i="4"/>
  <c r="K658" i="4"/>
  <c r="L657" i="4"/>
  <c r="K657" i="4"/>
  <c r="L625" i="4"/>
  <c r="K625" i="4"/>
  <c r="L624" i="4"/>
  <c r="K624" i="4"/>
  <c r="L612" i="4"/>
  <c r="K612" i="4"/>
  <c r="L611" i="4"/>
  <c r="K611" i="4"/>
  <c r="L597" i="4"/>
  <c r="K597" i="4"/>
  <c r="L596" i="4"/>
  <c r="K596" i="4"/>
  <c r="L534" i="4"/>
  <c r="K534" i="4"/>
  <c r="L533" i="4"/>
  <c r="K533" i="4"/>
  <c r="L532" i="4"/>
  <c r="K532" i="4"/>
  <c r="L528" i="4"/>
  <c r="K528" i="4"/>
  <c r="L527" i="4"/>
  <c r="K527" i="4"/>
  <c r="L507" i="4"/>
  <c r="K507" i="4"/>
  <c r="L506" i="4"/>
  <c r="K506" i="4"/>
  <c r="L505" i="4"/>
  <c r="K505" i="4"/>
  <c r="L499" i="4"/>
  <c r="K499" i="4"/>
  <c r="L498" i="4"/>
  <c r="K498" i="4"/>
  <c r="L492" i="4"/>
  <c r="K492" i="4"/>
  <c r="L491" i="4"/>
  <c r="K491" i="4"/>
  <c r="L486" i="4"/>
  <c r="K486" i="4"/>
  <c r="L485" i="4"/>
  <c r="K485" i="4"/>
  <c r="L484" i="4"/>
  <c r="K484" i="4"/>
  <c r="L474" i="4"/>
  <c r="K474" i="4"/>
  <c r="L473" i="4"/>
  <c r="K473" i="4"/>
  <c r="L471" i="4"/>
  <c r="K471" i="4"/>
  <c r="L470" i="4"/>
  <c r="K470" i="4"/>
  <c r="L464" i="4"/>
  <c r="K464" i="4"/>
  <c r="L463" i="4"/>
  <c r="K463" i="4"/>
  <c r="L454" i="4"/>
  <c r="K454" i="4"/>
  <c r="L453" i="4"/>
  <c r="K453" i="4"/>
  <c r="L450" i="4"/>
  <c r="K450" i="4"/>
  <c r="L449" i="4"/>
  <c r="K449" i="4"/>
  <c r="L443" i="4"/>
  <c r="K443" i="4"/>
  <c r="L442" i="4"/>
  <c r="K442" i="4"/>
  <c r="L425" i="4"/>
  <c r="K425" i="4"/>
  <c r="L424" i="4"/>
  <c r="K424" i="4"/>
  <c r="L423" i="4"/>
  <c r="K423" i="4"/>
  <c r="L420" i="4"/>
  <c r="K420" i="4"/>
  <c r="L419" i="4"/>
  <c r="K419" i="4"/>
  <c r="L412" i="4"/>
  <c r="K412" i="4"/>
  <c r="L411" i="4"/>
  <c r="K411" i="4"/>
  <c r="L410" i="4"/>
  <c r="K410" i="4"/>
  <c r="L388" i="4"/>
  <c r="K388" i="4"/>
  <c r="L387" i="4"/>
  <c r="K387" i="4"/>
  <c r="L346" i="4"/>
  <c r="K346" i="4"/>
  <c r="L345" i="4"/>
  <c r="K345" i="4"/>
  <c r="L338" i="4"/>
  <c r="K338" i="4"/>
  <c r="L337" i="4"/>
  <c r="K337" i="4"/>
  <c r="L298" i="4"/>
  <c r="K298" i="4"/>
  <c r="L297" i="4"/>
  <c r="K297" i="4"/>
  <c r="L250" i="4"/>
  <c r="K250" i="4"/>
  <c r="L249" i="4"/>
  <c r="K249" i="4"/>
  <c r="L248" i="4"/>
  <c r="K248" i="4"/>
  <c r="L246" i="4"/>
  <c r="K246" i="4"/>
  <c r="L245" i="4"/>
  <c r="K245" i="4"/>
  <c r="L236" i="4"/>
  <c r="K236" i="4"/>
  <c r="L235" i="4"/>
  <c r="K235" i="4"/>
  <c r="L229" i="4"/>
  <c r="K229" i="4"/>
  <c r="L228" i="4"/>
  <c r="K228" i="4"/>
  <c r="L227" i="4"/>
  <c r="K227" i="4"/>
  <c r="L226" i="4"/>
  <c r="K226" i="4"/>
  <c r="L225" i="4"/>
  <c r="K225" i="4"/>
  <c r="L222" i="4"/>
  <c r="K222" i="4"/>
  <c r="L221" i="4"/>
  <c r="K221" i="4"/>
  <c r="L214" i="4"/>
  <c r="K214" i="4"/>
  <c r="L213" i="4"/>
  <c r="K213" i="4"/>
  <c r="L204" i="4"/>
  <c r="K204" i="4"/>
  <c r="L203" i="4"/>
  <c r="K203" i="4"/>
  <c r="L190" i="4"/>
  <c r="K190" i="4"/>
  <c r="L189" i="4"/>
  <c r="K189" i="4"/>
  <c r="L141" i="4"/>
  <c r="K141" i="4"/>
  <c r="L140" i="4"/>
  <c r="K140" i="4"/>
  <c r="L139" i="4"/>
  <c r="K139" i="4"/>
  <c r="L138" i="4"/>
  <c r="K138" i="4"/>
  <c r="L122" i="4"/>
  <c r="K122" i="4"/>
  <c r="L121" i="4"/>
  <c r="K121" i="4"/>
  <c r="L119" i="4"/>
  <c r="K119" i="4"/>
  <c r="L118" i="4"/>
  <c r="K118" i="4"/>
  <c r="L117" i="4"/>
  <c r="K117" i="4"/>
  <c r="L116" i="4"/>
  <c r="K116" i="4"/>
  <c r="L97" i="4"/>
  <c r="K97" i="4"/>
  <c r="L96" i="4"/>
  <c r="K96" i="4"/>
  <c r="L95" i="4"/>
  <c r="K95" i="4"/>
  <c r="L86" i="4"/>
  <c r="K86" i="4"/>
  <c r="L85" i="4"/>
  <c r="K85" i="4"/>
  <c r="L81" i="4"/>
  <c r="K81" i="4"/>
  <c r="L80" i="4"/>
  <c r="K80" i="4"/>
  <c r="L72" i="4"/>
  <c r="K72" i="4"/>
  <c r="L71" i="4"/>
  <c r="K71" i="4"/>
  <c r="L53" i="4"/>
  <c r="K53" i="4"/>
  <c r="L52" i="4"/>
  <c r="K52" i="4"/>
  <c r="L42" i="4"/>
  <c r="K42" i="4"/>
  <c r="L41" i="4"/>
  <c r="K41" i="4"/>
  <c r="K31" i="4"/>
  <c r="K30" i="4"/>
  <c r="K20" i="4"/>
  <c r="K19" i="4"/>
</calcChain>
</file>

<file path=xl/sharedStrings.xml><?xml version="1.0" encoding="utf-8"?>
<sst xmlns="http://schemas.openxmlformats.org/spreadsheetml/2006/main" count="7135" uniqueCount="1687">
  <si>
    <t>Deletions</t>
  </si>
  <si>
    <t>Additions</t>
  </si>
  <si>
    <t>6.6.1.1</t>
  </si>
  <si>
    <t>Acyclovir</t>
  </si>
  <si>
    <t>P,S,T</t>
  </si>
  <si>
    <t>Tablet 800 mg</t>
  </si>
  <si>
    <t>12.5.2</t>
  </si>
  <si>
    <t>Alteplase</t>
  </si>
  <si>
    <t>T</t>
  </si>
  <si>
    <t xml:space="preserve">Powder for Injection 20 mg
</t>
  </si>
  <si>
    <t>Powder for Injection 50 mg</t>
  </si>
  <si>
    <t>6.2.1.1</t>
  </si>
  <si>
    <t>Amoxicillin</t>
  </si>
  <si>
    <t xml:space="preserve">Powder for Injection 500 mg </t>
  </si>
  <si>
    <t>Powder for injection 1000 mg</t>
  </si>
  <si>
    <t xml:space="preserve">Oral liquid 125 mg/5 mL (p) </t>
  </si>
  <si>
    <t>Powder for Injection 250 mg</t>
  </si>
  <si>
    <t>6.4.1</t>
  </si>
  <si>
    <t>Amikacin</t>
  </si>
  <si>
    <t>S,T</t>
  </si>
  <si>
    <t>Injection 100 mg/mL</t>
  </si>
  <si>
    <t>Injection 250 mg/mL</t>
  </si>
  <si>
    <t>Injection 500 mg/mL</t>
  </si>
  <si>
    <t>6.5.3.1.1</t>
  </si>
  <si>
    <t>Artemether (A) + Lumefantrine (B)</t>
  </si>
  <si>
    <t>Oral liquid 80 mg (A) + 480 mg (B)/5 ml</t>
  </si>
  <si>
    <t>12.3.2</t>
  </si>
  <si>
    <t>Atenolol</t>
  </si>
  <si>
    <t>Tablet 50 mg</t>
  </si>
  <si>
    <t>Tablet 100 mg</t>
  </si>
  <si>
    <t>10.6.1</t>
  </si>
  <si>
    <t>Atorvastatin</t>
  </si>
  <si>
    <t>Tablet 80 mg</t>
  </si>
  <si>
    <t>2.4.1</t>
  </si>
  <si>
    <t>Azathioprine</t>
  </si>
  <si>
    <t>Tablet 25 mg (p)</t>
  </si>
  <si>
    <t>6.7.6.1</t>
  </si>
  <si>
    <t>Azithromycin***</t>
  </si>
  <si>
    <t>Tablet 1000 mg</t>
  </si>
  <si>
    <t>15.2.1</t>
  </si>
  <si>
    <t>Barium sulphate</t>
  </si>
  <si>
    <t xml:space="preserve">Oral liquid 100% w/v
</t>
  </si>
  <si>
    <t>Oral liquid 250% w/v</t>
  </si>
  <si>
    <t>12.2.1</t>
  </si>
  <si>
    <t>Oral Liquid 95% w/v</t>
  </si>
  <si>
    <t>6.4.2</t>
  </si>
  <si>
    <t>Bedaquiline</t>
  </si>
  <si>
    <t>7.1.6</t>
  </si>
  <si>
    <t>Bendamustine hydrochloride</t>
  </si>
  <si>
    <t>Injection 100 mg/vial</t>
  </si>
  <si>
    <t>Injection 25 mg/ vial</t>
  </si>
  <si>
    <t>11.4.1</t>
  </si>
  <si>
    <t>Benzoyl peroxide</t>
  </si>
  <si>
    <t>Gel 2.5 % - 5 %</t>
  </si>
  <si>
    <t>6.2.1.5</t>
  </si>
  <si>
    <t>Benzylpenicillin</t>
  </si>
  <si>
    <t>Powder for injection 5 lac units</t>
  </si>
  <si>
    <t>17.2.1</t>
  </si>
  <si>
    <t>Bleaching powder</t>
  </si>
  <si>
    <t>Containing not less than 30% w/w
of available chlorine (as per IP)</t>
  </si>
  <si>
    <t>23.5.1</t>
  </si>
  <si>
    <t>Buprenorphine</t>
  </si>
  <si>
    <t>Tablet (Sub-lingual) 0.4 mg</t>
  </si>
  <si>
    <t>23.5.2</t>
  </si>
  <si>
    <t>Buprenorphine (A) + Naloxone (B)</t>
  </si>
  <si>
    <t>Tablet (Sub-lingual) 2 mg (A) + 0.5 mg (B)</t>
  </si>
  <si>
    <t>Tablet (Sub-lingual) 0.4 mg (A)
+ 0.1 mg (B)</t>
  </si>
  <si>
    <t>6.2.4.1</t>
  </si>
  <si>
    <t>Capreomycin</t>
  </si>
  <si>
    <t>P,S, T</t>
  </si>
  <si>
    <t>Powder for Injection 1 g</t>
  </si>
  <si>
    <t>5.1.1</t>
  </si>
  <si>
    <t>Carbamazepine</t>
  </si>
  <si>
    <t>Oral liquid 200 mg/5 ml</t>
  </si>
  <si>
    <t>18.6.1</t>
  </si>
  <si>
    <t>Carbimazole</t>
  </si>
  <si>
    <t>Tablet 20 mg</t>
  </si>
  <si>
    <t>6.2.1.6</t>
  </si>
  <si>
    <t>Cefadroxil</t>
  </si>
  <si>
    <t>Tablet 1 g</t>
  </si>
  <si>
    <t>6.7.5.2</t>
  </si>
  <si>
    <t>Cefotaxime**</t>
  </si>
  <si>
    <t>Injection 1000 mg</t>
  </si>
  <si>
    <t>6.2.2.2</t>
  </si>
  <si>
    <t>Cefuroxime</t>
  </si>
  <si>
    <t>Tablet 500 mg</t>
  </si>
  <si>
    <t xml:space="preserve">Oral liquid 125 mg/ 5 mL (p) </t>
  </si>
  <si>
    <t>Injection 1500 mg</t>
  </si>
  <si>
    <t>17.1.1</t>
  </si>
  <si>
    <t>Cetrimide</t>
  </si>
  <si>
    <t>Solution 20% (Concentrate for
dilution)</t>
  </si>
  <si>
    <t>Chlorpheniramine</t>
  </si>
  <si>
    <t xml:space="preserve">Tablet 4 mg
</t>
  </si>
  <si>
    <t>Oral liquid 2 mg/5 ml</t>
  </si>
  <si>
    <t>6.4.3</t>
  </si>
  <si>
    <t>Clarithromycin</t>
  </si>
  <si>
    <t>Tablet 750 mg</t>
  </si>
  <si>
    <t>6.2.2.5</t>
  </si>
  <si>
    <t>Clindamycin</t>
  </si>
  <si>
    <t>Injection 150 mg /mL</t>
  </si>
  <si>
    <t>10.5.2</t>
  </si>
  <si>
    <t>Clopidogrel</t>
  </si>
  <si>
    <t>Tablet 150 mg</t>
  </si>
  <si>
    <t>6.7.5.4</t>
  </si>
  <si>
    <t>Clotrimazole*</t>
  </si>
  <si>
    <t>Ointment 1 %</t>
  </si>
  <si>
    <t>11.4.2</t>
  </si>
  <si>
    <t>Coal tar (A) + Salicylic Acid (B)</t>
  </si>
  <si>
    <t>Solution 1 % (A) + 3 % (B)</t>
  </si>
  <si>
    <t>14.4.2</t>
  </si>
  <si>
    <t>Coal tar</t>
  </si>
  <si>
    <t>Solution 5%</t>
  </si>
  <si>
    <t>8.1.13</t>
  </si>
  <si>
    <t>Cyclophosphamide</t>
  </si>
  <si>
    <t>Tablet 200 mg</t>
  </si>
  <si>
    <t>8.3.2</t>
  </si>
  <si>
    <t>Cyclosporine</t>
  </si>
  <si>
    <t>Capsule 10 mg</t>
  </si>
  <si>
    <t>4.2.3</t>
  </si>
  <si>
    <t>D- Penicillamine</t>
  </si>
  <si>
    <t>Capsule 250 mg</t>
  </si>
  <si>
    <t>Capsule 150 mg (p)</t>
  </si>
  <si>
    <t>10.5.3</t>
  </si>
  <si>
    <t>Dabigatran</t>
  </si>
  <si>
    <t>S, T</t>
  </si>
  <si>
    <t>Tablet 110 mg</t>
  </si>
  <si>
    <t>6.8.1</t>
  </si>
  <si>
    <t>Daclatasvir</t>
  </si>
  <si>
    <t>Tablet 60 mg</t>
  </si>
  <si>
    <t>Tablet 30 mg</t>
  </si>
  <si>
    <t>6.3.2</t>
  </si>
  <si>
    <t>Dapsone</t>
  </si>
  <si>
    <t>Tablet 25 mg</t>
  </si>
  <si>
    <t>6.7.4.3</t>
  </si>
  <si>
    <t>Darunavir (A) + Ritonavir (B)</t>
  </si>
  <si>
    <t>Tablet 600 mg (A) + Tablet 100 mg (B)</t>
  </si>
  <si>
    <t>6.4.6</t>
  </si>
  <si>
    <t>Delamanid</t>
  </si>
  <si>
    <t>Dexamethasone</t>
  </si>
  <si>
    <t>Tablet 0.5 mg</t>
  </si>
  <si>
    <t>Tablet 2 mg</t>
  </si>
  <si>
    <t>Oral liquid 0.5 mg/5 mL (p)</t>
  </si>
  <si>
    <t>6.5.1.1</t>
  </si>
  <si>
    <t>Diloxanide furoate</t>
  </si>
  <si>
    <t>12.1.3</t>
  </si>
  <si>
    <t>Diltiazem</t>
  </si>
  <si>
    <t>SR Tablet 90 mg</t>
  </si>
  <si>
    <t>10.1.1</t>
  </si>
  <si>
    <t>Modified Release Tablet 180 mg</t>
  </si>
  <si>
    <t>Dimercaprol</t>
  </si>
  <si>
    <t>Injection 50 mg/ml</t>
  </si>
  <si>
    <t>6.7.3.1</t>
  </si>
  <si>
    <t>Dolutegravir</t>
  </si>
  <si>
    <t>6.2.2.7</t>
  </si>
  <si>
    <t>Doxycycline</t>
  </si>
  <si>
    <t>Power for Injection 100 mg</t>
  </si>
  <si>
    <t>6.10.2.1</t>
  </si>
  <si>
    <t>Doxycycline**#</t>
  </si>
  <si>
    <t>Capsule 100 mg #for prophylaxis of P. vivax</t>
  </si>
  <si>
    <t>Oral liquid 50 mg/ 5mL
#for prophylaxis of P. vivax</t>
  </si>
  <si>
    <t>6.4.3.2.1</t>
  </si>
  <si>
    <t>Efavirenz</t>
  </si>
  <si>
    <t>6.8.2</t>
  </si>
  <si>
    <t>Entecavir</t>
  </si>
  <si>
    <t>Oral liquid 0.05 mg/mL (p)</t>
  </si>
  <si>
    <t>25.1.3</t>
  </si>
  <si>
    <t>Erythromycin</t>
  </si>
  <si>
    <t>Ointment 0.5%</t>
  </si>
  <si>
    <t>21.3.1</t>
  </si>
  <si>
    <t>Ethinylestradiol</t>
  </si>
  <si>
    <t xml:space="preserve">Tablet 0.01 mg
</t>
  </si>
  <si>
    <t>Tablet 0.05 mg</t>
  </si>
  <si>
    <t>21.2.1.2</t>
  </si>
  <si>
    <t>Ethinylestradiol
(A) +
Norethisterone</t>
  </si>
  <si>
    <t>Tablet 0.035 mg (A) + 1 mg (B)</t>
  </si>
  <si>
    <t>8.1.19</t>
  </si>
  <si>
    <t>Etoposide</t>
  </si>
  <si>
    <t>Capsule  100mg</t>
  </si>
  <si>
    <t>6.5.3</t>
  </si>
  <si>
    <t>Fluconazole</t>
  </si>
  <si>
    <t>8.1.2</t>
  </si>
  <si>
    <t>Ferrous salts
(a) Iron Dextran
(b) Iron sorbitol citrate complex</t>
  </si>
  <si>
    <t>Injection 50 mg/mL</t>
  </si>
  <si>
    <t>10.1.2</t>
  </si>
  <si>
    <t xml:space="preserve">Ferrous salts
</t>
  </si>
  <si>
    <t>Oral liquid equivalent to 25 mg of elemental iron/ml</t>
  </si>
  <si>
    <t>18.1.2</t>
  </si>
  <si>
    <t>Fludrocortisone</t>
  </si>
  <si>
    <t>Tablet 0.1 mg</t>
  </si>
  <si>
    <t>12.1.1</t>
  </si>
  <si>
    <t>Fluorescein</t>
  </si>
  <si>
    <t>Ophthalmic Strips</t>
  </si>
  <si>
    <t>15.1.1</t>
  </si>
  <si>
    <t>Eye drop 1%</t>
  </si>
  <si>
    <t>8.1.4</t>
  </si>
  <si>
    <t>Folic Acid</t>
  </si>
  <si>
    <t>Tablet 1 mg</t>
  </si>
  <si>
    <t>11.2.1</t>
  </si>
  <si>
    <t>Framycetin</t>
  </si>
  <si>
    <t>Cream 1 %</t>
  </si>
  <si>
    <t>14.2.1</t>
  </si>
  <si>
    <t>Cream 0.5%</t>
  </si>
  <si>
    <t>6.4.2.1</t>
  </si>
  <si>
    <t>Ganciclovir</t>
  </si>
  <si>
    <t xml:space="preserve">Capsule 250 mg
</t>
  </si>
  <si>
    <t>Powder for Injection 500 mg</t>
  </si>
  <si>
    <t>25.1.4</t>
  </si>
  <si>
    <t>Gentamicin</t>
  </si>
  <si>
    <t>Drops 0.3%</t>
  </si>
  <si>
    <t>23.1.3</t>
  </si>
  <si>
    <t>Haloperidol</t>
  </si>
  <si>
    <t>18.4.2</t>
  </si>
  <si>
    <t>Human chorionic gonadotropin</t>
  </si>
  <si>
    <t>Injection 2000 IU</t>
  </si>
  <si>
    <t>Hydrocortisone</t>
  </si>
  <si>
    <t>18.1.3</t>
  </si>
  <si>
    <t>24.1.3</t>
  </si>
  <si>
    <t>Powder for Injection 200 mg</t>
  </si>
  <si>
    <t>20.4.2</t>
  </si>
  <si>
    <t>Hyoscine butyl bromide</t>
  </si>
  <si>
    <t>Tablet 10 mg</t>
  </si>
  <si>
    <t>17.4.2</t>
  </si>
  <si>
    <t>18.3.1.4</t>
  </si>
  <si>
    <t>Insulin Glargine</t>
  </si>
  <si>
    <t>Injection 100 IU/mL</t>
  </si>
  <si>
    <t>7.1.26</t>
  </si>
  <si>
    <t>Irinotecan HCl trihydrate</t>
  </si>
  <si>
    <t>Solution for injection 20 mg/ mL</t>
  </si>
  <si>
    <t>6.2.4.5</t>
  </si>
  <si>
    <t>Isoniazid</t>
  </si>
  <si>
    <t>Tablet 50mg</t>
  </si>
  <si>
    <t>12.1.5</t>
  </si>
  <si>
    <t>Isosorbide- 5-
mononitrate</t>
  </si>
  <si>
    <t xml:space="preserve">Tablet 10 mg
</t>
  </si>
  <si>
    <t>SR Tablet 30 mg</t>
  </si>
  <si>
    <t>SR Tablet 60 mg</t>
  </si>
  <si>
    <t>6.5.5</t>
  </si>
  <si>
    <t>Itraconazole</t>
  </si>
  <si>
    <t>Capsule 200 mg</t>
  </si>
  <si>
    <t>Oral liquid 10 mg/mL</t>
  </si>
  <si>
    <t>Capsule 100 mg</t>
  </si>
  <si>
    <t>6.1.2.3</t>
  </si>
  <si>
    <t>Ivermectin</t>
  </si>
  <si>
    <t>Tablet 12 mg</t>
  </si>
  <si>
    <t>Tablet 6 mg</t>
  </si>
  <si>
    <t>6.2.4.6</t>
  </si>
  <si>
    <t>Kanamycin</t>
  </si>
  <si>
    <t xml:space="preserve">Powder for Injection 500 mg
</t>
  </si>
  <si>
    <t>Powder for Injection 750 mg</t>
  </si>
  <si>
    <t>10.3.4</t>
  </si>
  <si>
    <t>Labetalol</t>
  </si>
  <si>
    <t>6.7.1.3</t>
  </si>
  <si>
    <t>Lamivudine</t>
  </si>
  <si>
    <t>6.4.3.1.3</t>
  </si>
  <si>
    <t>Lamivudine (A) +
Nevirapine (B) +
Stavudine (C)</t>
  </si>
  <si>
    <t>Dispersible Tablet 30 mg (A) + 50
mg (B) + 6 mg ©</t>
  </si>
  <si>
    <t>Tablet 150 mg (A) + 200 mg (B) + 30 mg ©</t>
  </si>
  <si>
    <t>6.4.3.1.4</t>
  </si>
  <si>
    <t>Lamivudine (A) +
Zidovudine (B)</t>
  </si>
  <si>
    <t xml:space="preserve">Tablet 30 mg (A) + 60 mg (B)
</t>
  </si>
  <si>
    <t>Tablet 150 mg (A) + 300 mg (B)</t>
  </si>
  <si>
    <t>21.4.2</t>
  </si>
  <si>
    <t>Latanoprost</t>
  </si>
  <si>
    <t>Drops 0.005 %</t>
  </si>
  <si>
    <t>7.1.28</t>
  </si>
  <si>
    <t>Lenalidomide</t>
  </si>
  <si>
    <t>Capsule 25 mg</t>
  </si>
  <si>
    <t>Capsule 5 mg</t>
  </si>
  <si>
    <t>2.4.3</t>
  </si>
  <si>
    <t>Leflunomide</t>
  </si>
  <si>
    <t>18.2.1.2</t>
  </si>
  <si>
    <t>Levonorgestrel</t>
  </si>
  <si>
    <t>Tablet 1.5 mg</t>
  </si>
  <si>
    <t>15.1.2</t>
  </si>
  <si>
    <t>Lignocaine</t>
  </si>
  <si>
    <t>Eye drop 4%</t>
  </si>
  <si>
    <t>6.4.11</t>
  </si>
  <si>
    <t>Linezolid</t>
  </si>
  <si>
    <t>Tablet 300 mg</t>
  </si>
  <si>
    <t>6.4.3.4.3</t>
  </si>
  <si>
    <t>Lopinavir (A) + Ritonavir (B)</t>
  </si>
  <si>
    <t>Oral liquid 400mg (A)mg (B)/5ml</t>
  </si>
  <si>
    <t>6.7.4.4</t>
  </si>
  <si>
    <t>Oral Liquid 80 mg (A) + 20 mg (B) /mL (p)</t>
  </si>
  <si>
    <t>Capsule/ Sachet (containing pellets/granules) 40 mg (A) +
10 mg (B) (p)</t>
  </si>
  <si>
    <t>5.1.5</t>
  </si>
  <si>
    <t>Lorazepam</t>
  </si>
  <si>
    <t>Injection 4 mg/mL</t>
  </si>
  <si>
    <t>18.5.1</t>
  </si>
  <si>
    <t>Medroxyprogesterone acetate</t>
  </si>
  <si>
    <t>Injection 150 mg/ mL</t>
  </si>
  <si>
    <t>2.1.4</t>
  </si>
  <si>
    <t>Mefenamic acid</t>
  </si>
  <si>
    <t>Capsule 500 mg</t>
  </si>
  <si>
    <t>6.2.1.14</t>
  </si>
  <si>
    <t>Meropenem</t>
  </si>
  <si>
    <t>Powder for Injection 1000 mg (as trihydrate)</t>
  </si>
  <si>
    <t>Powder for Injection 500 mg (as trihydrate)</t>
  </si>
  <si>
    <t>18.3.1.6</t>
  </si>
  <si>
    <t>Metformin</t>
  </si>
  <si>
    <t>Modified release Tablet 1000 mg</t>
  </si>
  <si>
    <t>21.4.1.4</t>
  </si>
  <si>
    <t>Tablet 750 mg
(Immediate and controlled release)</t>
  </si>
  <si>
    <t>2.4.4</t>
  </si>
  <si>
    <t>Methotrexate</t>
  </si>
  <si>
    <t>Tablet 7.5 mg</t>
  </si>
  <si>
    <t>Injection 25 mg/ ml</t>
  </si>
  <si>
    <t>12.3.6</t>
  </si>
  <si>
    <t>Methyldopa</t>
  </si>
  <si>
    <t>Tablet 250 mg</t>
  </si>
  <si>
    <t>21.1.4</t>
  </si>
  <si>
    <t>Methylprednisolone</t>
  </si>
  <si>
    <t>Tablet 8 mg</t>
  </si>
  <si>
    <t>Tablet 16 mg</t>
  </si>
  <si>
    <t>Tablet 32 mg</t>
  </si>
  <si>
    <t>Metoprolol</t>
  </si>
  <si>
    <t>SR Tablet 25 mg</t>
  </si>
  <si>
    <t>SR Tablet 50 mg</t>
  </si>
  <si>
    <t>12.1.7</t>
  </si>
  <si>
    <t>Modified Release Tablet 100 mg</t>
  </si>
  <si>
    <t>Injection 1 mg/mL</t>
  </si>
  <si>
    <t>10.1.4</t>
  </si>
  <si>
    <t>1.3.3</t>
  </si>
  <si>
    <t>Midazolam</t>
  </si>
  <si>
    <t>Oral liquid 2 mg/ml</t>
  </si>
  <si>
    <t>Nasal Spray 0.5mg</t>
  </si>
  <si>
    <t>Nasal Spray 1.25 mg</t>
  </si>
  <si>
    <t>6.5.2.2</t>
  </si>
  <si>
    <t>Miltefosine</t>
  </si>
  <si>
    <t>24.1.5</t>
  </si>
  <si>
    <t>Montelukast</t>
  </si>
  <si>
    <t>Tablet 4 mg (including chewable tablets)</t>
  </si>
  <si>
    <t>Tablet 5 mg (including chewable tablets)</t>
  </si>
  <si>
    <t>8.4.12</t>
  </si>
  <si>
    <t>Morphine</t>
  </si>
  <si>
    <t>6.2.4.9</t>
  </si>
  <si>
    <t>Moxifloxacin</t>
  </si>
  <si>
    <t>6.5.6</t>
  </si>
  <si>
    <t>Mupirocin</t>
  </si>
  <si>
    <t>Ointment 2%</t>
  </si>
  <si>
    <t>23.5.3</t>
  </si>
  <si>
    <t>Nicotine (for nicotine
replacement therapy)</t>
  </si>
  <si>
    <t>Oral Dosage forms 4 mg</t>
  </si>
  <si>
    <t xml:space="preserve">Oral Dosage forms 2 mg </t>
  </si>
  <si>
    <t>Nicotinamide</t>
  </si>
  <si>
    <t>6.3.5</t>
  </si>
  <si>
    <t>Nystatin</t>
  </si>
  <si>
    <t xml:space="preserve">Tablet 500,000 IU
</t>
  </si>
  <si>
    <t>6.4.4.2</t>
  </si>
  <si>
    <t>Pegylated
interferon alfa 2a</t>
  </si>
  <si>
    <t>Injection 180 mcg</t>
  </si>
  <si>
    <t xml:space="preserve">Injection 80 mcg
</t>
  </si>
  <si>
    <t>Injection 100 mcg</t>
  </si>
  <si>
    <t>Injection 120 mcg</t>
  </si>
  <si>
    <t>4.2.9</t>
  </si>
  <si>
    <t>Penicillamine</t>
  </si>
  <si>
    <t>6.5.4.2</t>
  </si>
  <si>
    <t>Pentamidine</t>
  </si>
  <si>
    <t>6.2.2.11</t>
  </si>
  <si>
    <t>Phenoxymethyl penicillin</t>
  </si>
  <si>
    <t>25.2.1</t>
  </si>
  <si>
    <t>Prednisolone</t>
  </si>
  <si>
    <t>Drops 0.1%</t>
  </si>
  <si>
    <t>1.2.4</t>
  </si>
  <si>
    <t>Prilocaine (A) + Lignocaine (B)</t>
  </si>
  <si>
    <t>Cream 2.5% (A) + 2.5% (B)</t>
  </si>
  <si>
    <t>12.1.2</t>
  </si>
  <si>
    <t>Proparacaine</t>
  </si>
  <si>
    <t>Eye Drops 0.5%</t>
  </si>
  <si>
    <t>8.1.30</t>
  </si>
  <si>
    <t>Procarbazine</t>
  </si>
  <si>
    <t>Capsule 50 mg</t>
  </si>
  <si>
    <t>5.2.1.3</t>
  </si>
  <si>
    <t>Propranolol</t>
  </si>
  <si>
    <t>7.2.2</t>
  </si>
  <si>
    <t>20.1.3</t>
  </si>
  <si>
    <t>Ranitidine</t>
  </si>
  <si>
    <t xml:space="preserve">Tablet 150 mg
</t>
  </si>
  <si>
    <t>Oral liquid 75 mg/5 ml</t>
  </si>
  <si>
    <t>Injection 25 mg/ml</t>
  </si>
  <si>
    <t>Riboflavin</t>
  </si>
  <si>
    <t>Tablet 5 mg</t>
  </si>
  <si>
    <t>6.2.4.12</t>
  </si>
  <si>
    <t>Rifabutin</t>
  </si>
  <si>
    <t>Capsule 150 mg</t>
  </si>
  <si>
    <t>23.1.4</t>
  </si>
  <si>
    <t>Risperidone</t>
  </si>
  <si>
    <t>Injection (Long acting) 25 mg</t>
  </si>
  <si>
    <t>Injection (Long acting) 37.5 mg</t>
  </si>
  <si>
    <t>19.3.8</t>
  </si>
  <si>
    <t>Rotavirus vaccine</t>
  </si>
  <si>
    <t>As licensed</t>
  </si>
  <si>
    <t>23.2.2.2</t>
  </si>
  <si>
    <t>Sodium valproate</t>
  </si>
  <si>
    <t>Modified Release - Tablet 500 mg</t>
  </si>
  <si>
    <t>6.4.3.1.5</t>
  </si>
  <si>
    <t>Stavudine (A) +
Lamivudine (B)</t>
  </si>
  <si>
    <t>Tablet 30 mg (A) + 150 mg (B)</t>
  </si>
  <si>
    <t xml:space="preserve">Dispersible Tablet 6 mg (A) + 30
mg (B)
</t>
  </si>
  <si>
    <t>20.1.4</t>
  </si>
  <si>
    <t>Sucralfate</t>
  </si>
  <si>
    <t>Oral liquid 1 g</t>
  </si>
  <si>
    <t>7.1.3</t>
  </si>
  <si>
    <t>Sumatriptan</t>
  </si>
  <si>
    <t>Injection 6 mg/ 0.5 ml</t>
  </si>
  <si>
    <t>Salicylic acid</t>
  </si>
  <si>
    <t>Ointment 3-6 %</t>
  </si>
  <si>
    <t>Sodium thiosulphate</t>
  </si>
  <si>
    <t>Section 18 Hormones, other Endocrine Medicines and Contraceptives</t>
  </si>
  <si>
    <t>Tenofovir Disproxil Fumarate (TDF)</t>
  </si>
  <si>
    <t>18.1-Adrenal Hormones and Synthetic substitutes</t>
  </si>
  <si>
    <t>Tenofovir Disproxil Fumarate (TDF)*</t>
  </si>
  <si>
    <t>18.1.1</t>
  </si>
  <si>
    <t>Terbinafine</t>
  </si>
  <si>
    <t>Cream 1%</t>
  </si>
  <si>
    <t>17.6  Medicines used in diarrhea</t>
  </si>
  <si>
    <t>Tenecteplase</t>
  </si>
  <si>
    <t>Injection 30 mg/vial</t>
  </si>
  <si>
    <t>17.6.1</t>
  </si>
  <si>
    <t>Injection 40 mg/vial</t>
  </si>
  <si>
    <t>17.6.2</t>
  </si>
  <si>
    <t>Teneligliptin</t>
  </si>
  <si>
    <t>Tenofovir Alafenamide Fumarate (TAF)</t>
  </si>
  <si>
    <t>17.7   Other medicines</t>
  </si>
  <si>
    <t>Tenofovir Disproxil Fumarate (A) + Lamivudine (B) + Efavirenz (C)</t>
  </si>
  <si>
    <t>Tablet 300 mg (A) + 300 mg (B)
+ 600 mg (C)</t>
  </si>
  <si>
    <t>17.7.1</t>
  </si>
  <si>
    <t>Tenofovir Disproxil Fumarate (A) + Lamivudine (B) +
Dolutegravir (C)</t>
  </si>
  <si>
    <t>Tablet 300 mg (A) + 300 mg (B)
+ 50 mg (C)</t>
  </si>
  <si>
    <t>Tenofovir Disproxil Fumarate (A) +
Lamivudine (B)</t>
  </si>
  <si>
    <t>Tablet 300 mg (A) + 300 mg (B)</t>
  </si>
  <si>
    <t>18.2.3 - Barrier methods</t>
  </si>
  <si>
    <t>Valganciclovir</t>
  </si>
  <si>
    <t>Powder for oral solution 50 mg/mL</t>
  </si>
  <si>
    <t>18.2.3.1</t>
  </si>
  <si>
    <t>Tablet 450 mg</t>
  </si>
  <si>
    <t>Valganciclovir**</t>
  </si>
  <si>
    <t>Tablet/Capsule 450 mg</t>
  </si>
  <si>
    <t>18.3 - Medicines used in Diabetes Mellitus</t>
  </si>
  <si>
    <t>Vancomycin</t>
  </si>
  <si>
    <t>Capsule 125 mg</t>
  </si>
  <si>
    <t>18.3.1 - Insulins and other Antidiabetic agents</t>
  </si>
  <si>
    <t>Zidovudine (A) + Lamivudine (B)</t>
  </si>
  <si>
    <t>Tablet 300 mg (A) + 150 mg (B)</t>
  </si>
  <si>
    <t>Tablet 60 mg (A) + 30 mg (B) (p)</t>
  </si>
  <si>
    <t>Sodium chloride</t>
  </si>
  <si>
    <t>Injection 0.45%</t>
  </si>
  <si>
    <t>4.2.13</t>
  </si>
  <si>
    <t>Injection 100 mg/ml</t>
  </si>
  <si>
    <t>6.4.4.5</t>
  </si>
  <si>
    <t>Tenofovir</t>
  </si>
  <si>
    <t>6.4.3.1.6</t>
  </si>
  <si>
    <t>Tenofovir (A) +
Lamivudine (B)</t>
  </si>
  <si>
    <t>Tablet 300 mg (A) +300 mg (B)</t>
  </si>
  <si>
    <t>6.4.3.1.7</t>
  </si>
  <si>
    <t>Tenofovir (A) +
Lamivudine (B) +
Efavirenz (C)</t>
  </si>
  <si>
    <t>Tablet 300 mg (A) + 300 mg (B) +
600 mg (C)</t>
  </si>
  <si>
    <t>White Petrolatum</t>
  </si>
  <si>
    <t>Jelly 100%</t>
  </si>
  <si>
    <t>Vitamin A</t>
  </si>
  <si>
    <t>Capsule 5000 IU</t>
  </si>
  <si>
    <t>Capsule 100000 IU</t>
  </si>
  <si>
    <t xml:space="preserve">Medicine </t>
  </si>
  <si>
    <t>Dosage Form &amp; Strength</t>
  </si>
  <si>
    <t>Medicine</t>
  </si>
  <si>
    <t xml:space="preserve">Dosage Form &amp; Strength </t>
  </si>
  <si>
    <t>Atropine</t>
  </si>
  <si>
    <t>Injection 1 mg/ml</t>
  </si>
  <si>
    <t>Framycetin Sulphate</t>
  </si>
  <si>
    <t>Cream 0.50%</t>
  </si>
  <si>
    <t>TD Vaccine</t>
  </si>
  <si>
    <t>Each dose of 0.5ml contains: Diphtheria Toxoid ≤5Lf (≥ 2IU) Tetanus Toxoid ≥ 5Lf (≥ 40IU)</t>
  </si>
  <si>
    <t>Each dose of 0.5ml contains: Diphtheria Toxoid ≤25Lf (≥ 30IU) Tetanus Toxoid ≥ 5Lf (≥ 40IU)</t>
  </si>
  <si>
    <t>From Ceiling Price</t>
  </si>
  <si>
    <t>Capsule 80 mg</t>
  </si>
  <si>
    <t>Isosorbide-5-mononitrate</t>
  </si>
  <si>
    <t>SR Capsule 30 mg</t>
  </si>
  <si>
    <t>SR Capsule 60 mg</t>
  </si>
  <si>
    <t>Syrup 100 mg/5ml</t>
  </si>
  <si>
    <t>Betamethasone</t>
  </si>
  <si>
    <t>Gel 0.05%</t>
  </si>
  <si>
    <t>Lotion 0.1%</t>
  </si>
  <si>
    <t>Lotion 0.5%</t>
  </si>
  <si>
    <t>Daunarubicin</t>
  </si>
  <si>
    <t>Powder for I.V. Injection 20 mg (5 mg/ml)</t>
  </si>
  <si>
    <t>Capsule 90 mg</t>
  </si>
  <si>
    <t>Paracetamol</t>
  </si>
  <si>
    <t>Oral Liquid 100 mg/5ml</t>
  </si>
  <si>
    <t>Oral Liquid 150 mg/5ml</t>
  </si>
  <si>
    <t>Oral Liquid 650 mg/5ml</t>
  </si>
  <si>
    <t>Permethrin</t>
  </si>
  <si>
    <t>Gel 5%</t>
  </si>
  <si>
    <t>Lotion 5%</t>
  </si>
  <si>
    <t>Tablet 150mg</t>
  </si>
  <si>
    <t>100 mg/ml (pediatric)</t>
  </si>
  <si>
    <t>Mycophenolate mofetil</t>
  </si>
  <si>
    <t>7.3.3</t>
  </si>
  <si>
    <t xml:space="preserve">Leuprolide Acetate </t>
  </si>
  <si>
    <t>Inj.(Depot) 11.25mg</t>
  </si>
  <si>
    <t>Inj.(Depot) 22.5mg</t>
  </si>
  <si>
    <t>Inj.(Depot) 3.75mg</t>
  </si>
  <si>
    <t xml:space="preserve">Injection 1000 IU </t>
  </si>
  <si>
    <t>Retinol</t>
  </si>
  <si>
    <t>As per NLEM 2016</t>
  </si>
  <si>
    <t xml:space="preserve">Dry Syrup 50 mg/5 mL (p) </t>
  </si>
  <si>
    <t>Section 1 Medicines used in Anaesthesia</t>
  </si>
  <si>
    <t>1.1- General Anaesthetics and Oxygen</t>
  </si>
  <si>
    <t>Level of Healthcare</t>
  </si>
  <si>
    <t>Dosage form(s) and strength(s)</t>
  </si>
  <si>
    <t>17.3.1</t>
  </si>
  <si>
    <t>5-aminosalicylic acid (Mesalazine/ Mesalaine)</t>
  </si>
  <si>
    <t>Tablet 400 mg</t>
  </si>
  <si>
    <t>Suppository 500 mg Retention Enema</t>
  </si>
  <si>
    <t>7.1.1</t>
  </si>
  <si>
    <t>5-Fluorouracil</t>
  </si>
  <si>
    <t>Injection 250 mg/ 5 mL</t>
  </si>
  <si>
    <t>7.1.2</t>
  </si>
  <si>
    <t>6-Mercaptopurine</t>
  </si>
  <si>
    <t>6.7.1.1</t>
  </si>
  <si>
    <t>Abacavir</t>
  </si>
  <si>
    <t>Tablet 60 mg (p)</t>
  </si>
  <si>
    <t>6.7.1.2</t>
  </si>
  <si>
    <t>Abacavir (A) + Lamivudine (B)</t>
  </si>
  <si>
    <t>Tablet 600 mg (A) + 300 mg (B)</t>
  </si>
  <si>
    <t>Tablet  60 mg (A) + 30 mg (B) (p)</t>
  </si>
  <si>
    <t>21.4.1</t>
  </si>
  <si>
    <t>Acetazolamide</t>
  </si>
  <si>
    <t>2.1.1</t>
  </si>
  <si>
    <t>Acetylsalicylic acid</t>
  </si>
  <si>
    <t xml:space="preserve">Tablet 300 mg to 500 mg </t>
  </si>
  <si>
    <t xml:space="preserve"> </t>
  </si>
  <si>
    <t>1.2-Local Anaesthetics</t>
  </si>
  <si>
    <t>Effervescent/ Dispersible/ Enteric coated Tablet 300 mg to 500 mg</t>
  </si>
  <si>
    <t>5.2.1</t>
  </si>
  <si>
    <t>Tablet 300 mg to 500 mg</t>
  </si>
  <si>
    <t>10.5.1</t>
  </si>
  <si>
    <t>Conventional/Effervescent/ Dispersible/ Enteric coated Tablet 100 mg</t>
  </si>
  <si>
    <t>Conventional/Effervescent/ Dispersible/ Enteric coated Tablet   75 mg</t>
  </si>
  <si>
    <t>Conventional/Effervescent/ Dispersible/ Enteric coated Tablets 325 mg</t>
  </si>
  <si>
    <t>Conventional/Effervescent/ Dispersible/ Enteric coated Tablets 150 mg</t>
  </si>
  <si>
    <t>Actinomycin D</t>
  </si>
  <si>
    <t>Powder for Injection 0.5 mg</t>
  </si>
  <si>
    <t>4.1.1</t>
  </si>
  <si>
    <t>Activated Charcoal</t>
  </si>
  <si>
    <t>Powder (as licensed)</t>
  </si>
  <si>
    <t>1.3- Preoperative Medication and Sedation for Short Term Procedures</t>
  </si>
  <si>
    <t>Oral liquid 400 mg/5 mL (p)</t>
  </si>
  <si>
    <t>21.1.1</t>
  </si>
  <si>
    <t>Ointment 3%</t>
  </si>
  <si>
    <t>6.7.5.1</t>
  </si>
  <si>
    <t>Acyclovir*</t>
  </si>
  <si>
    <t>Injection 250 mg</t>
  </si>
  <si>
    <t>10.2.1</t>
  </si>
  <si>
    <t>Adenosine</t>
  </si>
  <si>
    <t>Injection 3 mg/mL</t>
  </si>
  <si>
    <t>D</t>
  </si>
  <si>
    <t>Section 1.4 -Muscle Relaxants and Cholinesterase Inhibitors</t>
  </si>
  <si>
    <t>Adrenaline</t>
  </si>
  <si>
    <t>6.1.1.1</t>
  </si>
  <si>
    <t>Albendazole</t>
  </si>
  <si>
    <t>Oral liquid 200 mg/5 mL (p)</t>
  </si>
  <si>
    <t>Chewable Tablet 400 mg</t>
  </si>
  <si>
    <t xml:space="preserve">Tablet 400 mg </t>
  </si>
  <si>
    <t>6.1.2.1</t>
  </si>
  <si>
    <t>2.3.1</t>
  </si>
  <si>
    <t>Allopurinol</t>
  </si>
  <si>
    <t>2.1 - Non-opioid Analgesics, Antipyretics and Non-steroidal Anti- inflammatory Drugs</t>
  </si>
  <si>
    <t>7.4.1</t>
  </si>
  <si>
    <t>7.1.4</t>
  </si>
  <si>
    <t>All-trans retinoic acid</t>
  </si>
  <si>
    <t>Alprostadil</t>
  </si>
  <si>
    <t>Injection 0.5 mg/mL</t>
  </si>
  <si>
    <t>10.2.2</t>
  </si>
  <si>
    <t>Amiodarone</t>
  </si>
  <si>
    <t>5.2.1.1</t>
  </si>
  <si>
    <t>Amitriptyline</t>
  </si>
  <si>
    <t>Tablet 75 mg</t>
  </si>
  <si>
    <t>7.4.2</t>
  </si>
  <si>
    <t>23.2.1.1</t>
  </si>
  <si>
    <t>2.2-Opioid Analgesics</t>
  </si>
  <si>
    <t>10.3.1</t>
  </si>
  <si>
    <t>Amlodipine</t>
  </si>
  <si>
    <t>Tablet 2.5 mg</t>
  </si>
  <si>
    <t>2.3-Medicines used to treat Gout</t>
  </si>
  <si>
    <t xml:space="preserve">Oral liquid 250 mg/5 mL (p) </t>
  </si>
  <si>
    <t>2.4-Disease Modifying Agents used in Rheumatoid Disorders</t>
  </si>
  <si>
    <t>6.2.1.2</t>
  </si>
  <si>
    <t>Amoxicillin (A) + Clavulanic acid (B)</t>
  </si>
  <si>
    <t>Tablet 500 mg (A) + 125 mg (B)</t>
  </si>
  <si>
    <t>Oral liquid 200 mg (A) + 28.5 mg (B)/5 mL (p)</t>
  </si>
  <si>
    <t>Dry Syrup 125 mg (A) + 31.25
(B)/  5 mL (p)</t>
  </si>
  <si>
    <t>Powder for Injection 500 mg (A) + 100 mg (B)</t>
  </si>
  <si>
    <t>Powder for Injection 1 g (A) + 200 mg (B)</t>
  </si>
  <si>
    <t>6.5.1</t>
  </si>
  <si>
    <t>Amphotericin B</t>
  </si>
  <si>
    <t>a) Amphotericin B (conventional) - Injection 50 mg/vial</t>
  </si>
  <si>
    <t>b) Lipid Amphotericin B - Injection 50 mg/vial</t>
  </si>
  <si>
    <t>Section 3</t>
  </si>
  <si>
    <t>Antiallergics and Medicines used in Anaphylaxis</t>
  </si>
  <si>
    <t>c) Liposomal Amphotericin B - Injection 50 mg/vial</t>
  </si>
  <si>
    <t>6.9.2.1</t>
  </si>
  <si>
    <t>a) Amphotericin B (conventional)- Injection 50 mg</t>
  </si>
  <si>
    <t>b) Lipid Amphotericin B- Injection 50 mg</t>
  </si>
  <si>
    <t>c) Liposomal Amphotericin B- Injection 50 mg</t>
  </si>
  <si>
    <t>6.2.1.3</t>
  </si>
  <si>
    <t>Ampicillin</t>
  </si>
  <si>
    <t>Powder for Injection 1000 mg</t>
  </si>
  <si>
    <t>19.2.3</t>
  </si>
  <si>
    <t>Anti-D immunoglobulin</t>
  </si>
  <si>
    <t>As Licensed</t>
  </si>
  <si>
    <t>19.2.1</t>
  </si>
  <si>
    <t>Anti-rabies immunoglobulin</t>
  </si>
  <si>
    <t>19.2.2</t>
  </si>
  <si>
    <t>Anti-tetanus immunoglobulin</t>
  </si>
  <si>
    <t>7.1.5</t>
  </si>
  <si>
    <t>Arsenic trioxide</t>
  </si>
  <si>
    <t>Injection 1mg/ mL</t>
  </si>
  <si>
    <t>6.10.1.1</t>
  </si>
  <si>
    <t xml:space="preserve">Tablet 20 mg (A) + 120 mg (B) </t>
  </si>
  <si>
    <t xml:space="preserve">Tablet 40 mg (A) + 240 mg (B) </t>
  </si>
  <si>
    <t>Tablet 80 mg (A) + 480 mg (B)</t>
  </si>
  <si>
    <t>6.10.1.2</t>
  </si>
  <si>
    <t>Artesunate</t>
  </si>
  <si>
    <t>Powder for Injection 120 mg</t>
  </si>
  <si>
    <t>Powder for Injection 60 mg</t>
  </si>
  <si>
    <t>6.10.1.3</t>
  </si>
  <si>
    <t>Artesunate (A) + Sulphadoxine - Pyrimethamine (B)</t>
  </si>
  <si>
    <t>Combi pack (A+B)
1 Tablet 25 mg (A) +   1 Tablet (250 mg + 12.5 mg) (B)</t>
  </si>
  <si>
    <t>Combi pack (A+B) 
1 Tablet 50 mg (A) +   1 Tablet
(500 mg + 25 mg) (B)</t>
  </si>
  <si>
    <t>Combi pack (A+B) 1 Tablet 100 mg (A) + 1 Tablet
(750 mg + 37.5 mg) (B)</t>
  </si>
  <si>
    <t>Section 4</t>
  </si>
  <si>
    <t>Antidotes and Other Substances used in Management of Poisonings/Envenomation</t>
  </si>
  <si>
    <t>4.1-Nonspecific</t>
  </si>
  <si>
    <t>Combi pack (A+B) 1 Tablet 150 mg (A) + 2 Tablet
(500 mg + 25 mg) (B)</t>
  </si>
  <si>
    <t>4.2 Specific</t>
  </si>
  <si>
    <t xml:space="preserve">
Combi pack (A+B)  1 Tablet 200 mg (A) + 2 Tablet
(750 mg + 37.5 mg) (B)</t>
  </si>
  <si>
    <t>Ascorbic acid (Vitamin C)</t>
  </si>
  <si>
    <t>6.7.4.1</t>
  </si>
  <si>
    <t>Atazanavir (A) + Ritonavir (B)</t>
  </si>
  <si>
    <t>Tablet 300 mg (A) + Tablet 100 mg (B)</t>
  </si>
  <si>
    <t>Tablet 40 mg</t>
  </si>
  <si>
    <t>1.4.1</t>
  </si>
  <si>
    <t>Atracurium</t>
  </si>
  <si>
    <t>Injection 10 mg/mL</t>
  </si>
  <si>
    <t>1.3.1</t>
  </si>
  <si>
    <t>Injection 0.6 mg/mL</t>
  </si>
  <si>
    <t>4.2.1</t>
  </si>
  <si>
    <t>21.5.1</t>
  </si>
  <si>
    <t>Ointment 1%</t>
  </si>
  <si>
    <t>Drops 1%</t>
  </si>
  <si>
    <t>Section 5</t>
  </si>
  <si>
    <t>Medicines used in Neurological Disorders</t>
  </si>
  <si>
    <t>Section 5.1-Anticonvulsants/ Antiepileptics</t>
  </si>
  <si>
    <t>7.3.1</t>
  </si>
  <si>
    <t>6.2.2.1</t>
  </si>
  <si>
    <t>Azithromycin</t>
  </si>
  <si>
    <t xml:space="preserve">Oral liquid 200 mg/5 mL (p) </t>
  </si>
  <si>
    <t>1.4.2</t>
  </si>
  <si>
    <t>Baclofen</t>
  </si>
  <si>
    <t>Tablet  5 mg</t>
  </si>
  <si>
    <t>19.3.1</t>
  </si>
  <si>
    <t>BCG vaccine</t>
  </si>
  <si>
    <t>6.2.1.4</t>
  </si>
  <si>
    <t>Benzathine benzylpenicillin</t>
  </si>
  <si>
    <t>Powder for Injection 6 lac units</t>
  </si>
  <si>
    <t>Powder for Injection 12 lac units</t>
  </si>
  <si>
    <t>Powder for injection 24 lac units</t>
  </si>
  <si>
    <t>Powder for injection 10 lac units</t>
  </si>
  <si>
    <t>22.2.1</t>
  </si>
  <si>
    <t>11.3.1</t>
  </si>
  <si>
    <t>Betamethasone valerate</t>
  </si>
  <si>
    <t>Cream 0.05 %</t>
  </si>
  <si>
    <t>Cream 0.1 %</t>
  </si>
  <si>
    <t>7.2.1</t>
  </si>
  <si>
    <t>Bicalutamide</t>
  </si>
  <si>
    <t>17.5.1</t>
  </si>
  <si>
    <t>Bisacodyl</t>
  </si>
  <si>
    <t>Suppository 5 mg</t>
  </si>
  <si>
    <t>7.1.7</t>
  </si>
  <si>
    <t>Bleomycin</t>
  </si>
  <si>
    <t>Powder for Injection 15 units</t>
  </si>
  <si>
    <t>7.1.8</t>
  </si>
  <si>
    <t>Bortezomib</t>
  </si>
  <si>
    <t>Powder for Injection 2 mg</t>
  </si>
  <si>
    <t>Budesonide</t>
  </si>
  <si>
    <t xml:space="preserve">Nasal Spray 50 mcg/dose </t>
  </si>
  <si>
    <t>Nasal Spray 100 mcg/dose</t>
  </si>
  <si>
    <t>24.1.1</t>
  </si>
  <si>
    <t>Inhalation (MDI/DPI) 100 mcg/dose</t>
  </si>
  <si>
    <t>Inhalation (MDI/DPI) 200 mcg/dose</t>
  </si>
  <si>
    <t>Respirator solution for use in nebulizer 0.5 mg/mL</t>
  </si>
  <si>
    <t>Respirator solution for use in
nebulizer 1 mg/mL</t>
  </si>
  <si>
    <t>24.1.2</t>
  </si>
  <si>
    <t>Budesonide (A) + Formoterol (B)</t>
  </si>
  <si>
    <t>Inhalation (MDI/DPI) 100 mcg (A) + 6 mcg (B)</t>
  </si>
  <si>
    <t>Inhalation (MDI/DPI) 200 mcg (A) + 6 mcg (B)</t>
  </si>
  <si>
    <t>Inhalation (MDI/DPI) 400 mcg (A) + 6 mcg (B)</t>
  </si>
  <si>
    <t>1.2.1</t>
  </si>
  <si>
    <t>Bupivacaine</t>
  </si>
  <si>
    <t>Injection 0.25 %</t>
  </si>
  <si>
    <t>Injection 0.5 %</t>
  </si>
  <si>
    <t>Injection 0.5 % with 7.5 % glucose</t>
  </si>
  <si>
    <t>Caffeine</t>
  </si>
  <si>
    <t>Injection 20 mg/mL</t>
  </si>
  <si>
    <t>Oral liquid 20 mg/mL</t>
  </si>
  <si>
    <t>11.3.2</t>
  </si>
  <si>
    <t>Calamine</t>
  </si>
  <si>
    <t>Lotion (As per IP)</t>
  </si>
  <si>
    <t>Calcium carbonate</t>
  </si>
  <si>
    <t>Tablet 1250 mg (equivalent to elemental calcium 500 mg)</t>
  </si>
  <si>
    <t>Section 5.2- Antimigraine Medicines</t>
  </si>
  <si>
    <t>Tablet 625 mg (equivalent to elemental calcium 250 mg)</t>
  </si>
  <si>
    <t>7.1.9</t>
  </si>
  <si>
    <t>Calcium folinate</t>
  </si>
  <si>
    <t>Tablet 15 mg</t>
  </si>
  <si>
    <t>4.2.2</t>
  </si>
  <si>
    <t>Calcium gluconate</t>
  </si>
  <si>
    <t>7.1.10</t>
  </si>
  <si>
    <t>Capecitabine</t>
  </si>
  <si>
    <t>Modified Release - Tablet 200 mg</t>
  </si>
  <si>
    <t>Modified Release - Tablet 400 mg</t>
  </si>
  <si>
    <t>Oral liquid 100 mg/5 mL (p)</t>
  </si>
  <si>
    <t>Section 5.2.1 - For Prophylaxis</t>
  </si>
  <si>
    <t>23.2.2.3</t>
  </si>
  <si>
    <t>Section 5.3- Antiparkinsonism Medicines</t>
  </si>
  <si>
    <t>7.1.11</t>
  </si>
  <si>
    <t>Carboplatin</t>
  </si>
  <si>
    <t>21.6.1</t>
  </si>
  <si>
    <t>Carboxymethyl cellulose</t>
  </si>
  <si>
    <t>Drops 0.5%</t>
  </si>
  <si>
    <t>Section 5.4-Medicines used in Dementia</t>
  </si>
  <si>
    <t>Oral liquid 125 mg/5 mL (p)</t>
  </si>
  <si>
    <t>6.2.1.7</t>
  </si>
  <si>
    <t>Cefazolin</t>
  </si>
  <si>
    <t>Section 6</t>
  </si>
  <si>
    <t>Anti-infective Medicines</t>
  </si>
  <si>
    <t>6.1-Anthelminthics</t>
  </si>
  <si>
    <t>6.1.1- Intestinal Anthelminthics</t>
  </si>
  <si>
    <t>6.2.1.8</t>
  </si>
  <si>
    <t>Cefixime</t>
  </si>
  <si>
    <t>Oral liquid 50 mg/5 mL (p)</t>
  </si>
  <si>
    <t>6.1.2    Antifilarial</t>
  </si>
  <si>
    <t>6.2.1.9</t>
  </si>
  <si>
    <t>Cefotaxime</t>
  </si>
  <si>
    <t>6.2.1.10</t>
  </si>
  <si>
    <t>Ceftazidime</t>
  </si>
  <si>
    <t>6.2.1.11</t>
  </si>
  <si>
    <t>Ceftriaxone</t>
  </si>
  <si>
    <t>6.1.3 - Anti-schistosomal and Anti-trematodal Medicine</t>
  </si>
  <si>
    <t>6.2-Antibacterials</t>
  </si>
  <si>
    <t>6.2.1    Beta-lactam Medicines</t>
  </si>
  <si>
    <t>Powder for Injection 2000 mg</t>
  </si>
  <si>
    <t>Cetirizine</t>
  </si>
  <si>
    <t>Oral liquid 5 mg/5 mL (p)</t>
  </si>
  <si>
    <t>7.1.12</t>
  </si>
  <si>
    <t>Chlorambucil</t>
  </si>
  <si>
    <t>14.1.1</t>
  </si>
  <si>
    <t>Chlorhexidine</t>
  </si>
  <si>
    <t>Solution 5% (Concentrate)</t>
  </si>
  <si>
    <t>6.10.1.4</t>
  </si>
  <si>
    <t>Chloroquine</t>
  </si>
  <si>
    <t>Oral liquid 50 mg/5 mL</t>
  </si>
  <si>
    <t>Cholecalciferol</t>
  </si>
  <si>
    <t xml:space="preserve">Solid oral dosage form 1000 IU </t>
  </si>
  <si>
    <t>Oral liquid 400 IU/mL</t>
  </si>
  <si>
    <t>Solid oral dosage form 60000 IU</t>
  </si>
  <si>
    <t>6.2.2.3</t>
  </si>
  <si>
    <t>Ciprofloxacin</t>
  </si>
  <si>
    <t xml:space="preserve">Oral liquid 250 mg/ 5 mL (p) </t>
  </si>
  <si>
    <t>Injection 200 mg/ 100 mL</t>
  </si>
  <si>
    <t>Drops 0.3 %</t>
  </si>
  <si>
    <t>21.1.2</t>
  </si>
  <si>
    <t>Ointment 0.3%</t>
  </si>
  <si>
    <t>7.1.13</t>
  </si>
  <si>
    <t>Cisplatin</t>
  </si>
  <si>
    <t>Injection 1mg/mL</t>
  </si>
  <si>
    <t>6.2.2.4</t>
  </si>
  <si>
    <t>Capsule 300 mg</t>
  </si>
  <si>
    <t>6.9.3.1</t>
  </si>
  <si>
    <t>6.10.1.5</t>
  </si>
  <si>
    <t>6.7.5.3</t>
  </si>
  <si>
    <t>Clindamycin***</t>
  </si>
  <si>
    <t>5.1.2</t>
  </si>
  <si>
    <t>Clobazam</t>
  </si>
  <si>
    <t>6.3.1</t>
  </si>
  <si>
    <t>Clofazimine</t>
  </si>
  <si>
    <t>6.4.4</t>
  </si>
  <si>
    <t>18.4.1</t>
  </si>
  <si>
    <t>Clomiphene citrate</t>
  </si>
  <si>
    <t>23.4.1</t>
  </si>
  <si>
    <t>Clomipramine</t>
  </si>
  <si>
    <t>6.2.2 - Other Antibacterials</t>
  </si>
  <si>
    <t>Capsule 75 mg</t>
  </si>
  <si>
    <t>23.3.1</t>
  </si>
  <si>
    <t>Clonazepam</t>
  </si>
  <si>
    <t>Tablet 0.25 mg</t>
  </si>
  <si>
    <t>6.5.2</t>
  </si>
  <si>
    <t>Clotrimazole</t>
  </si>
  <si>
    <t>Pessary 100 mg</t>
  </si>
  <si>
    <t>11.1.1</t>
  </si>
  <si>
    <t>Lotion 1 %</t>
  </si>
  <si>
    <t>Drops 1 %</t>
  </si>
  <si>
    <t>6.2.1.12</t>
  </si>
  <si>
    <t>Cloxacillin</t>
  </si>
  <si>
    <t>Oral Liquid 125 mg/5 mL (p)</t>
  </si>
  <si>
    <t>23.1.1</t>
  </si>
  <si>
    <t>Clozapine</t>
  </si>
  <si>
    <t>9.3.1</t>
  </si>
  <si>
    <t>Coagulation factor IX</t>
  </si>
  <si>
    <t>Powder for Injection 600 IU</t>
  </si>
  <si>
    <t>9.3.2</t>
  </si>
  <si>
    <t>Coagulation factor VIII</t>
  </si>
  <si>
    <t xml:space="preserve">Powder for Injection 250 IU </t>
  </si>
  <si>
    <t>Powder for Injection 500 IU</t>
  </si>
  <si>
    <t>2.3.2</t>
  </si>
  <si>
    <t>Colchicine</t>
  </si>
  <si>
    <t>Condom</t>
  </si>
  <si>
    <t>As Licensed    as per the standards of  Drugs Rules, 1945</t>
  </si>
  <si>
    <t>6.2.2.6</t>
  </si>
  <si>
    <t>Co-trimoxazole [Sulphamethoxazole
(A) + Trimethoprim (B)]</t>
  </si>
  <si>
    <t>Tablet 400 mg (A) + 80 mg (B)</t>
  </si>
  <si>
    <t xml:space="preserve">Tablet 800 mg (A) + 160 mg (B) </t>
  </si>
  <si>
    <t>Oral liquid 200 mg (A) + 40 mg (B)/5 mL (p)</t>
  </si>
  <si>
    <t>6.9.3.2</t>
  </si>
  <si>
    <t xml:space="preserve">Tablet 400 mg (A) +   80 mg (B) </t>
  </si>
  <si>
    <t>Oral liquid 200 mg (A) +
40 mg (B)/5 mL (p)</t>
  </si>
  <si>
    <t>9.3.3</t>
  </si>
  <si>
    <t>Cryoprecipitate</t>
  </si>
  <si>
    <t>7.1.14</t>
  </si>
  <si>
    <t>6.4.5</t>
  </si>
  <si>
    <t>Cycloserine</t>
  </si>
  <si>
    <t>7.3.2</t>
  </si>
  <si>
    <t>6.3 - Antileprosy Medicines</t>
  </si>
  <si>
    <t xml:space="preserve">Oral liquid 100 mg/mL (p) </t>
  </si>
  <si>
    <t>7.1.15</t>
  </si>
  <si>
    <t>Cytosine arabinoside</t>
  </si>
  <si>
    <t>Injection  500 mg/vial</t>
  </si>
  <si>
    <t>Injection 1000 mg/vial</t>
  </si>
  <si>
    <t>Injection  100 mg/vial</t>
  </si>
  <si>
    <t>6.4-Antituberculosis Medicines</t>
  </si>
  <si>
    <t>7.1.16</t>
  </si>
  <si>
    <t>Dacarbazine</t>
  </si>
  <si>
    <t>6.7.4.2</t>
  </si>
  <si>
    <t>Darunavir</t>
  </si>
  <si>
    <t>Tablet 600 mg</t>
  </si>
  <si>
    <t>7.1.17</t>
  </si>
  <si>
    <t>Daunorubicin</t>
  </si>
  <si>
    <t>Injection 5 mg/mL</t>
  </si>
  <si>
    <t>4.2.4</t>
  </si>
  <si>
    <t>Desferrioxamine</t>
  </si>
  <si>
    <t>Powder for injection 500 mg</t>
  </si>
  <si>
    <t>Tablet 4 mg</t>
  </si>
  <si>
    <t>7.4.3</t>
  </si>
  <si>
    <t>9.2.1</t>
  </si>
  <si>
    <t>Dextran-40</t>
  </si>
  <si>
    <t>Injection 10 %</t>
  </si>
  <si>
    <t>5.1.3</t>
  </si>
  <si>
    <t>Diazepam</t>
  </si>
  <si>
    <t>Oral liquid 2 mg/5 mL (p)</t>
  </si>
  <si>
    <t>7.4.4</t>
  </si>
  <si>
    <t>2.1.2</t>
  </si>
  <si>
    <t>Diclofenac</t>
  </si>
  <si>
    <t>Injection 25 mg/mL</t>
  </si>
  <si>
    <t>17.4.1</t>
  </si>
  <si>
    <t>Dicyclomine</t>
  </si>
  <si>
    <t xml:space="preserve">Oral Solution 10 mg/5mL </t>
  </si>
  <si>
    <t>6.5 - Antifungal Medicines</t>
  </si>
  <si>
    <t>Injection 10 mg/ mL</t>
  </si>
  <si>
    <t>6.1.2.2</t>
  </si>
  <si>
    <t>Diethylcarbamazine (DEC)</t>
  </si>
  <si>
    <t>Oral liquid 120 mg/5 mL (p)</t>
  </si>
  <si>
    <t>10.2.3</t>
  </si>
  <si>
    <t>Digoxin</t>
  </si>
  <si>
    <t xml:space="preserve">Oral liquid 0.05 mg/mL </t>
  </si>
  <si>
    <t>Injection 0.25 mg/mL</t>
  </si>
  <si>
    <t>10.4.1</t>
  </si>
  <si>
    <t>22.1.1</t>
  </si>
  <si>
    <t>Dinoprostone</t>
  </si>
  <si>
    <t>Gel 0.5 mg</t>
  </si>
  <si>
    <t>19.2.4</t>
  </si>
  <si>
    <t>Diphtheria antitoxin</t>
  </si>
  <si>
    <t>10.4.2</t>
  </si>
  <si>
    <t>Dobutamine</t>
  </si>
  <si>
    <t>7.1.18</t>
  </si>
  <si>
    <t>Docetaxel</t>
  </si>
  <si>
    <t>Powder for Injection 80 mg</t>
  </si>
  <si>
    <t>Powder for Injection 20 mg</t>
  </si>
  <si>
    <t>6.6 - Antiviral Medicines</t>
  </si>
  <si>
    <t>6.6.1 - Antiherpes Medicines</t>
  </si>
  <si>
    <t>Domperidone</t>
  </si>
  <si>
    <t>Oral Liquid 1 mg/mL</t>
  </si>
  <si>
    <t>5.4.1</t>
  </si>
  <si>
    <t>Donepezil</t>
  </si>
  <si>
    <t>10.4.3</t>
  </si>
  <si>
    <t>Dopamine</t>
  </si>
  <si>
    <t>Injection 40 mg/mL</t>
  </si>
  <si>
    <t>7.1.19</t>
  </si>
  <si>
    <t>Doxorubicin</t>
  </si>
  <si>
    <t>Injection 2 mg/mL</t>
  </si>
  <si>
    <t>6.6.2 - Anti-cytomegalovirus (CMV) medicines</t>
  </si>
  <si>
    <t>6.7- Medicines used in the Management of HIV</t>
  </si>
  <si>
    <t>6.7.1 Nucleoside Reverse Transcriptase Inhibitors</t>
  </si>
  <si>
    <t>19.3.3</t>
  </si>
  <si>
    <t>DPT vaccine</t>
  </si>
  <si>
    <t>19.3.2</t>
  </si>
  <si>
    <t>DPT+ Hib+ Hep B vaccine</t>
  </si>
  <si>
    <t>6.7.2.1</t>
  </si>
  <si>
    <t>Tablet 200 mg (p)</t>
  </si>
  <si>
    <t>10.3.2</t>
  </si>
  <si>
    <t>Enalapril</t>
  </si>
  <si>
    <t>8.2.1</t>
  </si>
  <si>
    <t>Enoxaparin</t>
  </si>
  <si>
    <t>Injection 40 mg/ 0.4 mL</t>
  </si>
  <si>
    <t>Injection 60 mg/ 0.6 mL</t>
  </si>
  <si>
    <t>10.5.4</t>
  </si>
  <si>
    <t>6.7.2 Non-nucleoside Reverse Transcriptase Inhibitors</t>
  </si>
  <si>
    <t>8.1.1</t>
  </si>
  <si>
    <t>Erythropoietin</t>
  </si>
  <si>
    <t>Injection 10000 IU/mL</t>
  </si>
  <si>
    <t>Injection 2000 IU/mL</t>
  </si>
  <si>
    <t>23.2.1.2</t>
  </si>
  <si>
    <t>Escitalopram</t>
  </si>
  <si>
    <t>6.7.3 Integrase Inhibitors</t>
  </si>
  <si>
    <t>6.7.4 Protease Inhibitors</t>
  </si>
  <si>
    <t>10.2.4</t>
  </si>
  <si>
    <t>Esmolol</t>
  </si>
  <si>
    <t>6.4.7</t>
  </si>
  <si>
    <t>Ethambutol</t>
  </si>
  <si>
    <t>18.2.1.1</t>
  </si>
  <si>
    <t>Ethinylestradiol (A)+ Levonorgestrel (B)</t>
  </si>
  <si>
    <t>Tablet 0.03 mg (A) + Tablet 0.15  mg (B)</t>
  </si>
  <si>
    <t>6.4.8</t>
  </si>
  <si>
    <t>Ethionamide</t>
  </si>
  <si>
    <t>Tablet 125 mg</t>
  </si>
  <si>
    <t>6.7.5 Medicines for treating Opportunistic Infections in People living with HIV</t>
  </si>
  <si>
    <t>14.1.2</t>
  </si>
  <si>
    <t>Ethyl alcohol (Denatured)</t>
  </si>
  <si>
    <t>Solution 70%</t>
  </si>
  <si>
    <t>7.1.20</t>
  </si>
  <si>
    <t>Capsule  50 mg</t>
  </si>
  <si>
    <t>2.2.1</t>
  </si>
  <si>
    <t>Fentanyl</t>
  </si>
  <si>
    <t>Injection 50 mcg/mL</t>
  </si>
  <si>
    <t>8.1.3</t>
  </si>
  <si>
    <t>Ferrous Salt (A)+ Folic acid (B)</t>
  </si>
  <si>
    <t>Tablet 45 mg elemental iron (A) + 400 mcg (B)</t>
  </si>
  <si>
    <t>6.7.6 Additional Medicines for Syndromic Management of Sexually Transmitted Infections</t>
  </si>
  <si>
    <t>Tablet 100 mg elemental iron (A) + 500 mcg (B)</t>
  </si>
  <si>
    <t>Section 6.8 -Medicines used in Hepatitis B and Hepatitis C</t>
  </si>
  <si>
    <t>Oral liquid 20 mg elemental iron
(A) + 100 mcg/mL (B) (p)</t>
  </si>
  <si>
    <t>Tablet equivalent to 60 mg of elemental iron</t>
  </si>
  <si>
    <t>7.4.5</t>
  </si>
  <si>
    <t>Filgrastim</t>
  </si>
  <si>
    <t>Injection 300 mcg</t>
  </si>
  <si>
    <t>Section 6.9 -Antiprotozoal Medicines</t>
  </si>
  <si>
    <t>6.9.1 - Medicines for Amoebiasis and other Parasitic Infections</t>
  </si>
  <si>
    <t>Oral liquid 50 mg/ 5 mL (p)</t>
  </si>
  <si>
    <t>Injection 200 mg / 100 mL</t>
  </si>
  <si>
    <t>6.9.2 - Antileishmaniasis Medicines</t>
  </si>
  <si>
    <t>5.2.1.2</t>
  </si>
  <si>
    <t>Flunarizine</t>
  </si>
  <si>
    <t>7.4.6</t>
  </si>
  <si>
    <t>Fluoxetine</t>
  </si>
  <si>
    <t>Capsule 20 mg</t>
  </si>
  <si>
    <t>23.2.1.3</t>
  </si>
  <si>
    <t>6.9.3 - Antipneumocystosis and Antitoxoplasmosis Medicines</t>
  </si>
  <si>
    <t>Capsule 40 mg</t>
  </si>
  <si>
    <t>Capsule 60 mg</t>
  </si>
  <si>
    <t>23.4.2</t>
  </si>
  <si>
    <t>6.10-Antimalarial Medicines</t>
  </si>
  <si>
    <t>6.10.1 - For curative treatment</t>
  </si>
  <si>
    <t>23.1.2</t>
  </si>
  <si>
    <t>Fluphenazine</t>
  </si>
  <si>
    <t>9.1.1</t>
  </si>
  <si>
    <t>Fresh frozen plasma</t>
  </si>
  <si>
    <t>Furosemide</t>
  </si>
  <si>
    <t xml:space="preserve">Oral liquid 10 mg/mL </t>
  </si>
  <si>
    <t>11.2.2</t>
  </si>
  <si>
    <t>Fusidic acid</t>
  </si>
  <si>
    <t>Cream 2 %</t>
  </si>
  <si>
    <t>12.2.2</t>
  </si>
  <si>
    <t>Gadobenate dimeglumine</t>
  </si>
  <si>
    <t>Injection 529 mg/mL</t>
  </si>
  <si>
    <t>7.1.21</t>
  </si>
  <si>
    <t>Gefitinib</t>
  </si>
  <si>
    <t>7.1.22</t>
  </si>
  <si>
    <t>Gemcitabine</t>
  </si>
  <si>
    <t>6.2.2.8</t>
  </si>
  <si>
    <t>Injection 10 mg/Ml</t>
  </si>
  <si>
    <t>18.3.1.1</t>
  </si>
  <si>
    <t>Glimepiride</t>
  </si>
  <si>
    <t>6.10.2 - For prophylaxis</t>
  </si>
  <si>
    <t>18.3.2.1</t>
  </si>
  <si>
    <t>Glucose</t>
  </si>
  <si>
    <t>Injection 25 %</t>
  </si>
  <si>
    <t>25.1.1</t>
  </si>
  <si>
    <t>Section 7 Anti-cancer agents including Immunosuppressives and Medicines used in Palliative Care</t>
  </si>
  <si>
    <t>7.1 - Antineoplastic medicines</t>
  </si>
  <si>
    <t>Injection 50 %</t>
  </si>
  <si>
    <t>Injection 5 %</t>
  </si>
  <si>
    <t>25.1.2</t>
  </si>
  <si>
    <t>Glucose(A) + Sodium chloride (B)</t>
  </si>
  <si>
    <t>Injection 5% (A) + 0.9 % (B)</t>
  </si>
  <si>
    <t>Glutaraldehyde</t>
  </si>
  <si>
    <t>11.6.1</t>
  </si>
  <si>
    <t>Glycerin/glycerol (as mentioned in IP)</t>
  </si>
  <si>
    <t>Topical</t>
  </si>
  <si>
    <t>Glyceryl trinitrate</t>
  </si>
  <si>
    <t>Sublingual Tablet 0.5 mg</t>
  </si>
  <si>
    <t>1.3.2</t>
  </si>
  <si>
    <t>Glycopyrrolate</t>
  </si>
  <si>
    <t>Injection 0.2 mg/mL</t>
  </si>
  <si>
    <t>6.5.4</t>
  </si>
  <si>
    <t>Griseofulvin</t>
  </si>
  <si>
    <t>Tablet 375 mg</t>
  </si>
  <si>
    <t>Haemodialysis fluid</t>
  </si>
  <si>
    <t>7.4.7</t>
  </si>
  <si>
    <t>Oral liquid 2 mg/5 mL</t>
  </si>
  <si>
    <t>1.1.1</t>
  </si>
  <si>
    <t>Halothane</t>
  </si>
  <si>
    <t>Liquid for inhalation</t>
  </si>
  <si>
    <t>8.2.2</t>
  </si>
  <si>
    <t>Heparin</t>
  </si>
  <si>
    <t>Injection 1000 IU/mL</t>
  </si>
  <si>
    <t>Injection 5000 IU/mL</t>
  </si>
  <si>
    <t>10.5.5</t>
  </si>
  <si>
    <t>19.2.5</t>
  </si>
  <si>
    <t>Hepatitis B immunoglobulin</t>
  </si>
  <si>
    <t>19.3.4</t>
  </si>
  <si>
    <t>Hepatitis B vaccine</t>
  </si>
  <si>
    <t>21.5.2</t>
  </si>
  <si>
    <t>Homatropine</t>
  </si>
  <si>
    <t>Drops 2%</t>
  </si>
  <si>
    <t>18.2.2.1</t>
  </si>
  <si>
    <t>Hormone releasing IUD</t>
  </si>
  <si>
    <t>Contains 52 mg of Levonorgestrel</t>
  </si>
  <si>
    <t>Injection 5000 IU</t>
  </si>
  <si>
    <t>Injection 10000 IU</t>
  </si>
  <si>
    <t>19.2.6</t>
  </si>
  <si>
    <t>Human normal immunoglobulin</t>
  </si>
  <si>
    <t>10.3.3</t>
  </si>
  <si>
    <t>Hydrochlorothiazide</t>
  </si>
  <si>
    <t>Tablet 12.5 mg</t>
  </si>
  <si>
    <t>Powder for Injection 100 mg</t>
  </si>
  <si>
    <t>14.1.3</t>
  </si>
  <si>
    <t>Hydrogen peroxide</t>
  </si>
  <si>
    <t>Solution 6 %</t>
  </si>
  <si>
    <t>8.1.5</t>
  </si>
  <si>
    <t>Hydroxocobalamin</t>
  </si>
  <si>
    <t>2.4.2</t>
  </si>
  <si>
    <t>Hydroxychloroquine</t>
  </si>
  <si>
    <t>21.6.2</t>
  </si>
  <si>
    <t>Hydroxypropyl methylcellulose</t>
  </si>
  <si>
    <t>Injection 2%</t>
  </si>
  <si>
    <t>7.1.23</t>
  </si>
  <si>
    <t>Hydroxyurea</t>
  </si>
  <si>
    <t>8.1.6</t>
  </si>
  <si>
    <t>Injection 20 mg/ mL</t>
  </si>
  <si>
    <t>2.1.3</t>
  </si>
  <si>
    <t>Ibuprofen</t>
  </si>
  <si>
    <t>5.2.2</t>
  </si>
  <si>
    <t>7.2-Hormones and Anti-hormones used in Cancer Therapy</t>
  </si>
  <si>
    <t>7.1.24</t>
  </si>
  <si>
    <t>Ifosfamide</t>
  </si>
  <si>
    <t>7.1.25</t>
  </si>
  <si>
    <t>Imatinib</t>
  </si>
  <si>
    <t>18.3.1.2</t>
  </si>
  <si>
    <t>Insulin (Soluble)</t>
  </si>
  <si>
    <t>Injection 40 IU/mL</t>
  </si>
  <si>
    <t>18.3.1.3</t>
  </si>
  <si>
    <t>Insulin Intermediate Acting (NPH)</t>
  </si>
  <si>
    <t>18.3.1.5</t>
  </si>
  <si>
    <t>Insulin Premix Injection 30:70 (Regular : NPH)</t>
  </si>
  <si>
    <t>12.2.3</t>
  </si>
  <si>
    <t>Iohexol</t>
  </si>
  <si>
    <t>Injection 140 to 350 mg iodine/mL</t>
  </si>
  <si>
    <t>24.1.4</t>
  </si>
  <si>
    <t>Ipratropium</t>
  </si>
  <si>
    <t>Respirator solution for use in nebulizer 250 mcg/mL</t>
  </si>
  <si>
    <t>Inhalation (MDI/DPI) 20 mcg/dose</t>
  </si>
  <si>
    <t>7.3 - Immunosuppressive Medicines</t>
  </si>
  <si>
    <t>8.1.7</t>
  </si>
  <si>
    <t>Iron sucrose</t>
  </si>
  <si>
    <t>1.1.2</t>
  </si>
  <si>
    <t>Isoflurane</t>
  </si>
  <si>
    <t>6.4.9</t>
  </si>
  <si>
    <t>Oral Liquid 50 mg/5 mL (p)</t>
  </si>
  <si>
    <t>10.1.3</t>
  </si>
  <si>
    <t>Isosorbide dinitrate</t>
  </si>
  <si>
    <t>17.5.2</t>
  </si>
  <si>
    <t>Ispaghula</t>
  </si>
  <si>
    <t>Granules/ Husk/ Powder</t>
  </si>
  <si>
    <t>7.4-Medicines used in Palliative Care</t>
  </si>
  <si>
    <t>18.2.2.2</t>
  </si>
  <si>
    <t>IUD containing Copper</t>
  </si>
  <si>
    <t>19.3.5</t>
  </si>
  <si>
    <t>Japanese encephalitis vaccine</t>
  </si>
  <si>
    <t>1.1.3</t>
  </si>
  <si>
    <t>Ketamine</t>
  </si>
  <si>
    <t xml:space="preserve">Injection 10 mg/mL
</t>
  </si>
  <si>
    <t>7.4.8</t>
  </si>
  <si>
    <t>Lactulose</t>
  </si>
  <si>
    <t>Oral liquid 10 g/15 mL</t>
  </si>
  <si>
    <t>17.5.3</t>
  </si>
  <si>
    <t>Oral Liquid 10 g/15 mL</t>
  </si>
  <si>
    <t>7.1.27</t>
  </si>
  <si>
    <t>L-Asparaginase</t>
  </si>
  <si>
    <t>Powder for Injection 10000 KU</t>
  </si>
  <si>
    <t>Powder for Injection 5000 KU</t>
  </si>
  <si>
    <t>Letrozole</t>
  </si>
  <si>
    <t>7.2.3</t>
  </si>
  <si>
    <t>Leuprolide acetate</t>
  </si>
  <si>
    <t xml:space="preserve">Powder for injection 3.75 mg </t>
  </si>
  <si>
    <t>Powder for injection 22.5 mg</t>
  </si>
  <si>
    <t>Powder for injection 11.25 mg</t>
  </si>
  <si>
    <t>5.1.4</t>
  </si>
  <si>
    <t>Levetiracetam</t>
  </si>
  <si>
    <t>Modified Release Tablet 750 mg</t>
  </si>
  <si>
    <t>5.3.1</t>
  </si>
  <si>
    <t>Levodopa (A) + Carbidopa (B)</t>
  </si>
  <si>
    <t xml:space="preserve">Tablet 100 mg (A) + 25 mg (B) </t>
  </si>
  <si>
    <t>Tablet 100 mg (A) + 10 mg (B)</t>
  </si>
  <si>
    <t>Section 8 Medicines affecting Blood</t>
  </si>
  <si>
    <t>8.1- Antianaemia Medicines</t>
  </si>
  <si>
    <t>Tablet 250 mg (A) + 25 mg (B)</t>
  </si>
  <si>
    <t>Modified Release - Tablet 200 mg (A) + 50 mg (B)</t>
  </si>
  <si>
    <t>Modified Release -
Tablet 100 mg (A) + 25 mg (B)</t>
  </si>
  <si>
    <t>6.4.10</t>
  </si>
  <si>
    <t>Levofloxacin</t>
  </si>
  <si>
    <t>Tablet 0.75 mg</t>
  </si>
  <si>
    <t>18.6.2</t>
  </si>
  <si>
    <t>Levothyroxine</t>
  </si>
  <si>
    <t>Tablet 37.50mcg</t>
  </si>
  <si>
    <t>Tablet 100 mcg</t>
  </si>
  <si>
    <t>Tablet 112mcg</t>
  </si>
  <si>
    <t>Tablet 12.5 mcg</t>
  </si>
  <si>
    <t>Tablet 125 mcg</t>
  </si>
  <si>
    <t>8.2 - Medicines affecting Coagulation</t>
  </si>
  <si>
    <t>Tablet 150 mcg</t>
  </si>
  <si>
    <t>Tablet 25 mcg</t>
  </si>
  <si>
    <t>Tablet 50 mcg</t>
  </si>
  <si>
    <t>Tablet 62.5mcg</t>
  </si>
  <si>
    <t>Tablet 75 mcg</t>
  </si>
  <si>
    <t>Tablet 88 mcg</t>
  </si>
  <si>
    <t>1.2.2</t>
  </si>
  <si>
    <t>Injection 1 %</t>
  </si>
  <si>
    <t>Injection 2 %</t>
  </si>
  <si>
    <t>Injection 5 % with 7.5 % glucose</t>
  </si>
  <si>
    <t>10.2.5</t>
  </si>
  <si>
    <t>1.2.3</t>
  </si>
  <si>
    <t>Lignocaine (A) + Adrenaline (B)</t>
  </si>
  <si>
    <t xml:space="preserve">Injection 1% (A) + 1:200000
(5 mcg/mL) (B)
</t>
  </si>
  <si>
    <t>Injection 2% (A) + 1:200000 (5 mcg/mL) (B)</t>
  </si>
  <si>
    <t>Lignocaine*</t>
  </si>
  <si>
    <t>Topical forms 2-5 %</t>
  </si>
  <si>
    <t>Section 9 Blood products and Plasma substitutes</t>
  </si>
  <si>
    <t>9.1 - Blood and Blood components</t>
  </si>
  <si>
    <t>23.2.2.1</t>
  </si>
  <si>
    <t>Lithium</t>
  </si>
  <si>
    <t>7.4.9</t>
  </si>
  <si>
    <t>Loperamide</t>
  </si>
  <si>
    <t>9.2 - Plasma substitutes</t>
  </si>
  <si>
    <t>9.3 - Plasma fractions for specific use</t>
  </si>
  <si>
    <t>Tablet 200 mg (A) + 50 mg (B)</t>
  </si>
  <si>
    <t>Section 10 Cardiovascular Medicines</t>
  </si>
  <si>
    <t>10.1-Medicines used in Angina</t>
  </si>
  <si>
    <t>5.1.6</t>
  </si>
  <si>
    <t>Magnesium sulphate</t>
  </si>
  <si>
    <t>Mannitol</t>
  </si>
  <si>
    <t>Injection 20 %</t>
  </si>
  <si>
    <t>19.3.6</t>
  </si>
  <si>
    <t>Measles vaccine</t>
  </si>
  <si>
    <t>6.1.1.2</t>
  </si>
  <si>
    <t>Mebendazole</t>
  </si>
  <si>
    <t xml:space="preserve">Tablet 10 mg </t>
  </si>
  <si>
    <t>10.2 - Antiarrhythmic medicines</t>
  </si>
  <si>
    <t>6.10.2.2</t>
  </si>
  <si>
    <t>Mefloquine#</t>
  </si>
  <si>
    <t>Tablet 250 mg
#Only for use as chemoprophylaxis for long  term travellers like military 
and travel troops, travelling from low endemic to high endemic area.</t>
  </si>
  <si>
    <t>12.2.4</t>
  </si>
  <si>
    <t>Meglumine diatrizoate</t>
  </si>
  <si>
    <t>Injection 76 % w/v</t>
  </si>
  <si>
    <t>Injection 60 % w/v</t>
  </si>
  <si>
    <t>7.1.29</t>
  </si>
  <si>
    <t>Melphalan</t>
  </si>
  <si>
    <t>7.4.11</t>
  </si>
  <si>
    <t>Mesna</t>
  </si>
  <si>
    <t>10.3 - Antihypertensive Medicines</t>
  </si>
  <si>
    <t>7.1.30</t>
  </si>
  <si>
    <t>22.1.2</t>
  </si>
  <si>
    <t>Methylergometrine</t>
  </si>
  <si>
    <t>Tablet 0.125 mg</t>
  </si>
  <si>
    <t>18.1.4</t>
  </si>
  <si>
    <t>Injection 40mg/mL</t>
  </si>
  <si>
    <t>14.1.4</t>
  </si>
  <si>
    <t>Methylrosanilinium chloride
(Gentian Violet)</t>
  </si>
  <si>
    <t>Topical preparation 0.25% to 2%</t>
  </si>
  <si>
    <t>4.2.5</t>
  </si>
  <si>
    <t>Methylthioninium chloride (Methylene blue)</t>
  </si>
  <si>
    <t>7.4.10</t>
  </si>
  <si>
    <t>Metoclopramide</t>
  </si>
  <si>
    <t xml:space="preserve">Oral liquid 5 mg/5 mL (p) </t>
  </si>
  <si>
    <t>10.4 - Medicines used in Shock and Heart failure</t>
  </si>
  <si>
    <t>17.2.2</t>
  </si>
  <si>
    <t>6.2.2.9</t>
  </si>
  <si>
    <t>Metronidazole</t>
  </si>
  <si>
    <t>10.5- Antiplatelet and Antithrombotic Medicines</t>
  </si>
  <si>
    <t>Injection 500 mg/100 mL</t>
  </si>
  <si>
    <t>6.9.1.1</t>
  </si>
  <si>
    <t xml:space="preserve">Injection 500 mg/100 mL </t>
  </si>
  <si>
    <t>5.1.7</t>
  </si>
  <si>
    <t xml:space="preserve">Nasal Spray 0.5 mg/actuation </t>
  </si>
  <si>
    <t>10.6 - Hypolipidemic Medicines</t>
  </si>
  <si>
    <t>Nasal Spray 1.25 mg/actuation</t>
  </si>
  <si>
    <t>7.4.12</t>
  </si>
  <si>
    <t>22.1.3</t>
  </si>
  <si>
    <t>Mifepristone</t>
  </si>
  <si>
    <t>Section 11 Dermatological Medicines (Topical)</t>
  </si>
  <si>
    <t>11.1 - Antifungal Medicines</t>
  </si>
  <si>
    <t>6.9.2.2</t>
  </si>
  <si>
    <t>22.1.4</t>
  </si>
  <si>
    <t>Misoprostol</t>
  </si>
  <si>
    <t>Tablet 200 mcg</t>
  </si>
  <si>
    <t>11.2 - Antibacterial Medicines</t>
  </si>
  <si>
    <t>11.3-Antiinflammatory and Antipruritic Medicines</t>
  </si>
  <si>
    <t>1.3.4</t>
  </si>
  <si>
    <t>Injection 15 mg/mL</t>
  </si>
  <si>
    <t>11.4 - Keratolytic agents</t>
  </si>
  <si>
    <t>2.2.2</t>
  </si>
  <si>
    <t>7.4.13</t>
  </si>
  <si>
    <t>Modified Release Tablet 30 mg</t>
  </si>
  <si>
    <t>11.5 - Scabicides and Pediculicides</t>
  </si>
  <si>
    <t>6.4.12</t>
  </si>
  <si>
    <t>11.6    Miscellaneous</t>
  </si>
  <si>
    <t>Section 12 Diagnostic agents</t>
  </si>
  <si>
    <t>12.1 - Ophthalmic Medicines</t>
  </si>
  <si>
    <t>4.2.6</t>
  </si>
  <si>
    <t>N-acetylcysteine</t>
  </si>
  <si>
    <t>Injection 200 mg/mL</t>
  </si>
  <si>
    <t>12.2 - Radiocontrast Media</t>
  </si>
  <si>
    <t>Sachet 200 mg</t>
  </si>
  <si>
    <t>4.2.7</t>
  </si>
  <si>
    <t>Naloxone</t>
  </si>
  <si>
    <t>Injection 0.4 mg/mL</t>
  </si>
  <si>
    <t>21.1.3</t>
  </si>
  <si>
    <t>Natamycin</t>
  </si>
  <si>
    <t>Drops 5 %</t>
  </si>
  <si>
    <t>1.4.3</t>
  </si>
  <si>
    <t>Neostigmine</t>
  </si>
  <si>
    <t>Section 13 Dialysis components (Haemodialysis and Peritoneal Dialysis)</t>
  </si>
  <si>
    <t>4.2.8</t>
  </si>
  <si>
    <t>6.7.2.2</t>
  </si>
  <si>
    <t>Nevirapine</t>
  </si>
  <si>
    <t>Section 14 Antiseptics and Disinfectants</t>
  </si>
  <si>
    <t>14.1    Antiseptics</t>
  </si>
  <si>
    <t>Dispersible Tablet 50 mg (p)</t>
  </si>
  <si>
    <t>22.2.2</t>
  </si>
  <si>
    <t>Nifedipine</t>
  </si>
  <si>
    <t>6.2.2.10</t>
  </si>
  <si>
    <t>Nitrofurantoin</t>
  </si>
  <si>
    <t>Oral liquid 25 mg/5 mL (p)</t>
  </si>
  <si>
    <t>1.1.4</t>
  </si>
  <si>
    <t>Nitrous oxide</t>
  </si>
  <si>
    <t>As licensed for medical purpose</t>
  </si>
  <si>
    <t>14.2    Disinfectants</t>
  </si>
  <si>
    <t>10.4.4</t>
  </si>
  <si>
    <t>Noradrenaline</t>
  </si>
  <si>
    <t>18.5.2</t>
  </si>
  <si>
    <t>Norethisterone</t>
  </si>
  <si>
    <t>Section 15 Diuretics</t>
  </si>
  <si>
    <t>6.5.7</t>
  </si>
  <si>
    <t>Oral Liquid 1 Lac IU/mL (p)</t>
  </si>
  <si>
    <t>Pessary 1 Lac IU</t>
  </si>
  <si>
    <t>Omeprazole</t>
  </si>
  <si>
    <t>Powder for oral liquid 20 mg</t>
  </si>
  <si>
    <t>7.4.14</t>
  </si>
  <si>
    <t>Ondansetron</t>
  </si>
  <si>
    <t xml:space="preserve">Oral liquid 2 mg/5 mL (p) </t>
  </si>
  <si>
    <t>Section 16 Ear, Nose and Throat Medicines</t>
  </si>
  <si>
    <t>17.2.3</t>
  </si>
  <si>
    <t xml:space="preserve">Oral Liquid 2 mg/5 mL (p) </t>
  </si>
  <si>
    <t>Injection 2 mg/ mL</t>
  </si>
  <si>
    <t>19.3.7</t>
  </si>
  <si>
    <t>Oral poliomyelitis vaccine</t>
  </si>
  <si>
    <t>Oral rehydration salts</t>
  </si>
  <si>
    <t>Section 17 Gastrointestinal Medicines</t>
  </si>
  <si>
    <t>17.1 - Antiulcer Medicines</t>
  </si>
  <si>
    <t>Oral rehydration salts**</t>
  </si>
  <si>
    <t>18.2.1.3</t>
  </si>
  <si>
    <t>Ormeloxifene (Centchroman)</t>
  </si>
  <si>
    <t>7.1.31</t>
  </si>
  <si>
    <t>Oxaliplatin</t>
  </si>
  <si>
    <t>Injection 5 mg/mL in 20 mL vial</t>
  </si>
  <si>
    <t>Injection 5 mg/mL in 10 mL vial</t>
  </si>
  <si>
    <t>Oxygen</t>
  </si>
  <si>
    <t>17.2    Antiemetics</t>
  </si>
  <si>
    <t>1.1.5</t>
  </si>
  <si>
    <t>Oxygen*</t>
  </si>
  <si>
    <t>22.1.5</t>
  </si>
  <si>
    <t>Oxytocin</t>
  </si>
  <si>
    <t>Injection 5 IU/mL</t>
  </si>
  <si>
    <t>Injection 10 IU/mL</t>
  </si>
  <si>
    <t>7.1.32</t>
  </si>
  <si>
    <t>Paclitaxel</t>
  </si>
  <si>
    <t>Injection 100 mg/16.7 mL</t>
  </si>
  <si>
    <t>Injection 30 mg/5 mL</t>
  </si>
  <si>
    <t>17.1.2</t>
  </si>
  <si>
    <t>Pantoprazole</t>
  </si>
  <si>
    <t>Injection 40 mg</t>
  </si>
  <si>
    <t>6.4.13</t>
  </si>
  <si>
    <t>Para- aminosalicylic acid</t>
  </si>
  <si>
    <t>Granules (As licensed)</t>
  </si>
  <si>
    <t>17.3    Anti-inflammatory medicines</t>
  </si>
  <si>
    <t>2.1.5</t>
  </si>
  <si>
    <t>Tablet 650 mg</t>
  </si>
  <si>
    <t>17.4  Antispasmodic medicines</t>
  </si>
  <si>
    <t>Oral Liquid 250 mg/5 mL (p)</t>
  </si>
  <si>
    <t>Suppository 80 mg</t>
  </si>
  <si>
    <t>17.5   Laxatives</t>
  </si>
  <si>
    <t>Suppository 170 mg</t>
  </si>
  <si>
    <t>5.2.3</t>
  </si>
  <si>
    <t>Oral liquid   120 mg/5mL (p)</t>
  </si>
  <si>
    <t>Oral Liquid 125 mg/5mL (p)</t>
  </si>
  <si>
    <t>Oral Liquid 250 mg/5mL (p)</t>
  </si>
  <si>
    <t xml:space="preserve">Oral Liquid 125 mg/5 mL (p) </t>
  </si>
  <si>
    <t xml:space="preserve">
Oral liquid 120 mg/5 mL (p)</t>
  </si>
  <si>
    <t>6.9.2.3</t>
  </si>
  <si>
    <t>Paromomycin</t>
  </si>
  <si>
    <t>Injection 375 mg/mL</t>
  </si>
  <si>
    <t>Peritoneal dialysis solution</t>
  </si>
  <si>
    <t>11.5.1</t>
  </si>
  <si>
    <t>Cream 5 %</t>
  </si>
  <si>
    <t>Pheniramine</t>
  </si>
  <si>
    <t>Injection 22.75 mg/mL</t>
  </si>
  <si>
    <t>5.1.8</t>
  </si>
  <si>
    <t>Phenobarbitone</t>
  </si>
  <si>
    <t>Oral liquid 20 mg/5 mL (p)</t>
  </si>
  <si>
    <t>18.2    Contraceptives</t>
  </si>
  <si>
    <t>18.2.1 - Hormonal Contraceptives</t>
  </si>
  <si>
    <t>21.5.3</t>
  </si>
  <si>
    <t>Phenylephrine</t>
  </si>
  <si>
    <t>Drops 10 %</t>
  </si>
  <si>
    <t>5.1.9</t>
  </si>
  <si>
    <t>Phenytoin</t>
  </si>
  <si>
    <t>18.2.2 - Intrauterine Devices</t>
  </si>
  <si>
    <t>Oral liquid 30 mg/5 mL (p)</t>
  </si>
  <si>
    <t>Modified Release Tablet 300 mg</t>
  </si>
  <si>
    <t>8.2.3</t>
  </si>
  <si>
    <t>Phytomenadione (Vitamin K1)</t>
  </si>
  <si>
    <t>21.4.3</t>
  </si>
  <si>
    <t>Pilocarpine</t>
  </si>
  <si>
    <t>Drops 2 %</t>
  </si>
  <si>
    <t>Drops 4 %</t>
  </si>
  <si>
    <t>6.2.1.13</t>
  </si>
  <si>
    <t>Piperacillin (A) + Tazobactam (B)</t>
  </si>
  <si>
    <t>Powder for Injection 1000 mg
(A) + 125 mg (B)</t>
  </si>
  <si>
    <t>Powder for Injection 2000 mg (A) + 250 mg (B)</t>
  </si>
  <si>
    <t>18.3.2 - Medicines used to treat Hypoglycemia</t>
  </si>
  <si>
    <t>Powder for Injection 4000 mg
(A) + 500 mg (B)</t>
  </si>
  <si>
    <t>18.4-Ovulation Inducers</t>
  </si>
  <si>
    <t>9.1.2</t>
  </si>
  <si>
    <t>Platelet rich plasma/ Platelet concentrates</t>
  </si>
  <si>
    <t>11.4.3</t>
  </si>
  <si>
    <t>Podophyllin resin</t>
  </si>
  <si>
    <t>Solution 20 %</t>
  </si>
  <si>
    <t>Potassium chloride</t>
  </si>
  <si>
    <t>Oral liquid 500 mg/5 mL</t>
  </si>
  <si>
    <t>Injection 150 mg/mL</t>
  </si>
  <si>
    <t>14.2.2</t>
  </si>
  <si>
    <t>Potassium permanganate</t>
  </si>
  <si>
    <t>Crystals for topical solution</t>
  </si>
  <si>
    <t>18.5-Progestogens</t>
  </si>
  <si>
    <t>14.1.5</t>
  </si>
  <si>
    <t>Povidone iodine</t>
  </si>
  <si>
    <t>Solution 4%</t>
  </si>
  <si>
    <t>Solution 7.5%</t>
  </si>
  <si>
    <t>Solution 10%</t>
  </si>
  <si>
    <t>18.6-Thyroid and Antithyroid Medicines</t>
  </si>
  <si>
    <t>Pralidoxime chloride (2-PAM)</t>
  </si>
  <si>
    <t>6.1.3.1</t>
  </si>
  <si>
    <t>Praziquantel</t>
  </si>
  <si>
    <t>Oral liquid   5 mg/5 mL (p)</t>
  </si>
  <si>
    <t>Oral liquid 15 mg/5 mL (p)</t>
  </si>
  <si>
    <t>7.2.4</t>
  </si>
  <si>
    <t xml:space="preserve">Oral liquid 15 mg/5 mL (p) </t>
  </si>
  <si>
    <t>Injection 20 mg/2 mL</t>
  </si>
  <si>
    <t>Section 19 Immunologicals</t>
  </si>
  <si>
    <t>19.1-Diagnostic agents</t>
  </si>
  <si>
    <t>18.1.5</t>
  </si>
  <si>
    <t>19.2-Sera and Immunoglobulins (Liquid/ Lyophilized)</t>
  </si>
  <si>
    <t xml:space="preserve">Oral liquid   5 mg/5 mL (p) </t>
  </si>
  <si>
    <t>21.2.1</t>
  </si>
  <si>
    <t>Prednisolone****</t>
  </si>
  <si>
    <t>6.10.1.6</t>
  </si>
  <si>
    <t>Primaquine</t>
  </si>
  <si>
    <t>19.3-Vaccines</t>
  </si>
  <si>
    <t>6.2.2.12</t>
  </si>
  <si>
    <t>Procaine Benzylpenicillin</t>
  </si>
  <si>
    <t>Powder for injection 1000 mg (=1 million IU)</t>
  </si>
  <si>
    <t>Drops 0.5 %</t>
  </si>
  <si>
    <t>1.1.6</t>
  </si>
  <si>
    <t>Propofol</t>
  </si>
  <si>
    <t>8.2.4</t>
  </si>
  <si>
    <t>Protamine Sulphate</t>
  </si>
  <si>
    <t>6.4.14</t>
  </si>
  <si>
    <t>Pyrazinamide</t>
  </si>
  <si>
    <t>19.4 - For Specific Group of Individuals</t>
  </si>
  <si>
    <t>Section 20 Medicines for Neonatal Care</t>
  </si>
  <si>
    <t>Tablet 1500 mg</t>
  </si>
  <si>
    <t>Oral liquid 250 mg/5 mL (p)</t>
  </si>
  <si>
    <t>Pyridoxine</t>
  </si>
  <si>
    <t>Section 21 Ophthalmological Medicines</t>
  </si>
  <si>
    <t>21.1-Anti-infective Medicines</t>
  </si>
  <si>
    <t>6.10.1.7</t>
  </si>
  <si>
    <t>Quinine</t>
  </si>
  <si>
    <t>Injection 300 mg/mL</t>
  </si>
  <si>
    <t>19.4.1</t>
  </si>
  <si>
    <t>Rabies vaccine</t>
  </si>
  <si>
    <t>21.2-Antiinflammatory Medicine</t>
  </si>
  <si>
    <t>6.7.3.2</t>
  </si>
  <si>
    <t>Raltegravir</t>
  </si>
  <si>
    <t>21.3- Local Anaesthetic</t>
  </si>
  <si>
    <t>10.3.5</t>
  </si>
  <si>
    <t>Ramipril</t>
  </si>
  <si>
    <t>21.4-Miotics and Antiglaucoma Medicines</t>
  </si>
  <si>
    <t>9.1.3</t>
  </si>
  <si>
    <t>Red blood cells/ Packed RBCs</t>
  </si>
  <si>
    <t>6.8.3</t>
  </si>
  <si>
    <t>Ribavirin</t>
  </si>
  <si>
    <t>6.4.15</t>
  </si>
  <si>
    <t>Rifampicin</t>
  </si>
  <si>
    <t>21.5-Mydriatics</t>
  </si>
  <si>
    <t>Capsule 450 mg</t>
  </si>
  <si>
    <t>Capsule 600 mg</t>
  </si>
  <si>
    <t>Oral liquid 100 mg/ 5 mL (p)</t>
  </si>
  <si>
    <t>6.3.3</t>
  </si>
  <si>
    <t>Rifampicin**</t>
  </si>
  <si>
    <t>25.1.5</t>
  </si>
  <si>
    <t>Ringer lactate</t>
  </si>
  <si>
    <t>Injection (as per IP)</t>
  </si>
  <si>
    <t>21.6-Miscellaneous</t>
  </si>
  <si>
    <t>Section 22 Oxytocics and Antioxytocics</t>
  </si>
  <si>
    <t>22.1 - Oxytocics and Abortifacient</t>
  </si>
  <si>
    <t xml:space="preserve">Oral liquid 1 mg/mL </t>
  </si>
  <si>
    <t>6.7.4.5</t>
  </si>
  <si>
    <t>Ritonavir</t>
  </si>
  <si>
    <t>7.1.33</t>
  </si>
  <si>
    <t>Rituximab</t>
  </si>
  <si>
    <t>24.1.6</t>
  </si>
  <si>
    <t>Salbutamol</t>
  </si>
  <si>
    <t>22.2 - Medicines used in Preterm Labour</t>
  </si>
  <si>
    <t>Inhalation (MDI/DPI*) 100 mcg/dose</t>
  </si>
  <si>
    <t>Respirator Solution
(Solution for Nebulizer 5 mg/mL)</t>
  </si>
  <si>
    <t>Section 23 Medicines used in treatment of Psychiatric Disorders</t>
  </si>
  <si>
    <t>23.1 - Medicines used in Psychotic Disorders</t>
  </si>
  <si>
    <t>11.4.4</t>
  </si>
  <si>
    <t>1.1.7</t>
  </si>
  <si>
    <t>Sevoflurane</t>
  </si>
  <si>
    <t>11.2.3</t>
  </si>
  <si>
    <t>Silver sulphadiazine</t>
  </si>
  <si>
    <t>4.2.10</t>
  </si>
  <si>
    <t>Snake venom antiserum</t>
  </si>
  <si>
    <t>Lyophilized polyvalent - As licensed</t>
  </si>
  <si>
    <t>Soluble/ liquid polyvalent - As licensed</t>
  </si>
  <si>
    <t>19.2.7</t>
  </si>
  <si>
    <t>Snake Venom Antiserum</t>
  </si>
  <si>
    <t>a) Soluble/ liquid polyvalent - As Licensed</t>
  </si>
  <si>
    <t>b) Lyophilized polyvalent - As Licensed</t>
  </si>
  <si>
    <t>25.1.6</t>
  </si>
  <si>
    <t>Sodium bicarbonate</t>
  </si>
  <si>
    <t>25.1.7</t>
  </si>
  <si>
    <t>Injection 0.9%</t>
  </si>
  <si>
    <t>Injection 3%</t>
  </si>
  <si>
    <t>4.2.11</t>
  </si>
  <si>
    <t>Sodium nitrite</t>
  </si>
  <si>
    <t>Injection 30 mg/mL</t>
  </si>
  <si>
    <t>10.3.6</t>
  </si>
  <si>
    <t>Sodium nitroprusside</t>
  </si>
  <si>
    <t>4.2.12</t>
  </si>
  <si>
    <t>5.1.10</t>
  </si>
  <si>
    <t>Sodium Valproate</t>
  </si>
  <si>
    <t>23.2 - Medicines used in Mood Disorders</t>
  </si>
  <si>
    <t>Modified Release - Tablet 300 mg</t>
  </si>
  <si>
    <t>6.8.4</t>
  </si>
  <si>
    <t>Sofosbuvir</t>
  </si>
  <si>
    <t>Somatostatin</t>
  </si>
  <si>
    <t>Powder for Injection 3 mg</t>
  </si>
  <si>
    <t>23.2.2 - Medicines used in Bipolar Disorders</t>
  </si>
  <si>
    <t>10.4.5</t>
  </si>
  <si>
    <t>Spironolactone</t>
  </si>
  <si>
    <t>10.5.6</t>
  </si>
  <si>
    <t>Streptokinase</t>
  </si>
  <si>
    <t>Injection 750,000 IU</t>
  </si>
  <si>
    <t>Injection 15,00,000 IU</t>
  </si>
  <si>
    <t>6.4.16</t>
  </si>
  <si>
    <t>Streptomycin</t>
  </si>
  <si>
    <t xml:space="preserve">Powder for Injection 750 mg </t>
  </si>
  <si>
    <t>1.4.4</t>
  </si>
  <si>
    <t>Succinylcholine</t>
  </si>
  <si>
    <t>Sulfasalazine</t>
  </si>
  <si>
    <t>5.2.4</t>
  </si>
  <si>
    <t>23.3 - Medicines used in Generalized Anxiety and Sleep Disorders</t>
  </si>
  <si>
    <t>Surfactant</t>
  </si>
  <si>
    <t>Suspension for intratracheal instillation (As licensed)</t>
  </si>
  <si>
    <t>7.3.4</t>
  </si>
  <si>
    <t>Tacrolimus</t>
  </si>
  <si>
    <t>Capsule 1 mg</t>
  </si>
  <si>
    <t>Capsule 2 mg</t>
  </si>
  <si>
    <t>Capsule 0.5 mg</t>
  </si>
  <si>
    <t>7.2.5</t>
  </si>
  <si>
    <t>Tamoxifen</t>
  </si>
  <si>
    <t>23.4 - Medicines used in Obsessive Compulsive Disorders and Panic attacks</t>
  </si>
  <si>
    <t>10.3.7</t>
  </si>
  <si>
    <t>Telmisartan</t>
  </si>
  <si>
    <t>7.1.34</t>
  </si>
  <si>
    <t>Temozolomide</t>
  </si>
  <si>
    <t>23.5    Medicines used in Disorders due to Psychoactive substance abuse</t>
  </si>
  <si>
    <t>10.5.7</t>
  </si>
  <si>
    <t>18.3.1.7</t>
  </si>
  <si>
    <t>6.8.5</t>
  </si>
  <si>
    <t>6.7.1.7</t>
  </si>
  <si>
    <t>Section 24 Medicines acting on the Respiratory tract</t>
  </si>
  <si>
    <t>24.1 - Antiasthmatic Medicines</t>
  </si>
  <si>
    <t>6.7.1.6</t>
  </si>
  <si>
    <t>6.7.1.5</t>
  </si>
  <si>
    <t>6.8.6</t>
  </si>
  <si>
    <t>6.7.1.4</t>
  </si>
  <si>
    <t>6.5.8</t>
  </si>
  <si>
    <t>19.3.9</t>
  </si>
  <si>
    <t>Tetanus toxoid</t>
  </si>
  <si>
    <t>7.1.35</t>
  </si>
  <si>
    <t>Thalidomide</t>
  </si>
  <si>
    <t>Thiamine</t>
  </si>
  <si>
    <t>1.1.8</t>
  </si>
  <si>
    <t>Thiopentone</t>
  </si>
  <si>
    <t xml:space="preserve">Powder for injection 0.5 g </t>
  </si>
  <si>
    <t>Powder for injection 1 g</t>
  </si>
  <si>
    <t>21.4.4</t>
  </si>
  <si>
    <t>Timolol</t>
  </si>
  <si>
    <t>Drops 0.25 %</t>
  </si>
  <si>
    <t>24.1.7</t>
  </si>
  <si>
    <t>Tiotropium</t>
  </si>
  <si>
    <t>Inhalation (DPI) 18 mcg/dose</t>
  </si>
  <si>
    <t>Inhalation (MDI) 9 mcg/dose</t>
  </si>
  <si>
    <t>2.2.3</t>
  </si>
  <si>
    <t>Tramadol</t>
  </si>
  <si>
    <t>7.4.15</t>
  </si>
  <si>
    <t>Section 25 Solutions correcting Water, Electrolyte disturbances and Acid-base disturbances</t>
  </si>
  <si>
    <t>8.2.5</t>
  </si>
  <si>
    <t>Tranexamic acid</t>
  </si>
  <si>
    <t>7.1.36</t>
  </si>
  <si>
    <t>Trastuzumab</t>
  </si>
  <si>
    <t>Injection 440 mg/50 mL</t>
  </si>
  <si>
    <t>5.3.2</t>
  </si>
  <si>
    <t>Trihexyphenidyl</t>
  </si>
  <si>
    <t>Tropicamide</t>
  </si>
  <si>
    <t>Eye drop 1 %</t>
  </si>
  <si>
    <t>19.1.1</t>
  </si>
  <si>
    <t>Tuberculin, Purified Protein derivative</t>
  </si>
  <si>
    <t>6.6.2.1</t>
  </si>
  <si>
    <t>6.7.5.5</t>
  </si>
  <si>
    <t>6.2.2.13</t>
  </si>
  <si>
    <t>25.2-Miscellaneous</t>
  </si>
  <si>
    <t>Section 26 Vitamins and Minerals</t>
  </si>
  <si>
    <t>1.4.5</t>
  </si>
  <si>
    <t>Vecuronium</t>
  </si>
  <si>
    <t>Powder for injection 10 mg</t>
  </si>
  <si>
    <t>10.2.6</t>
  </si>
  <si>
    <t>Verapamil</t>
  </si>
  <si>
    <t xml:space="preserve">Tablet 80 mg </t>
  </si>
  <si>
    <t>Injection 2.5 mg/ mL</t>
  </si>
  <si>
    <t>7.1.37</t>
  </si>
  <si>
    <t>Vinblastine</t>
  </si>
  <si>
    <t>Vincristine</t>
  </si>
  <si>
    <t>Oral liquid 100000 IU/mL</t>
  </si>
  <si>
    <t>Injection 50000 IU/mL</t>
  </si>
  <si>
    <t>Capsule/Tablet 50000 IU (including Chewable Tablet)</t>
  </si>
  <si>
    <t>8.2.6</t>
  </si>
  <si>
    <t>Warfarin</t>
  </si>
  <si>
    <t>Tablet 3 mg</t>
  </si>
  <si>
    <t>Section 27 Medicines for COVID   19 management</t>
  </si>
  <si>
    <t>Water for Injection</t>
  </si>
  <si>
    <t>Injection</t>
  </si>
  <si>
    <t>9.1.4</t>
  </si>
  <si>
    <t>Whole blood</t>
  </si>
  <si>
    <t>Xylometazoline</t>
  </si>
  <si>
    <t>Nasal drops 0.1 %</t>
  </si>
  <si>
    <t>Nasal drops 0.05 %</t>
  </si>
  <si>
    <t>6.7.1.8</t>
  </si>
  <si>
    <t>Zidovudine</t>
  </si>
  <si>
    <t>6.7.1.9</t>
  </si>
  <si>
    <t>6.7.1.10</t>
  </si>
  <si>
    <t>Zidovudine (A) + Lamivudine (B) + Nevirapine (C)</t>
  </si>
  <si>
    <t>Tablet 300 mg (A) + 150 mg (B) + 200 mg (C)</t>
  </si>
  <si>
    <t>Tablet 60 mg (A) + 30 mg (B) + 50 mg (C) (p)</t>
  </si>
  <si>
    <t>Zinc Sulphate</t>
  </si>
  <si>
    <t>Dispersible Tablet 20 mg</t>
  </si>
  <si>
    <t>7.4.16</t>
  </si>
  <si>
    <t>Zoledronic acid</t>
  </si>
  <si>
    <t>Powder for Injection 4 mg</t>
  </si>
  <si>
    <t>23.3.2</t>
  </si>
  <si>
    <t>Zolpidem</t>
  </si>
  <si>
    <t>Section 28 Coronary Stents</t>
  </si>
  <si>
    <t>Bare Metal Stents (BMS)</t>
  </si>
  <si>
    <t>Drug Eluting Stents (DES) which Include metallic DES and Bioresorable Vascular Scaffold (BVS)/Biodegradable Stents</t>
  </si>
  <si>
    <t>Section 29 Medicines for Animal Use</t>
  </si>
  <si>
    <t>Foot and Mouth Disease (Trivalent) Oil adjuvant  Vaccine</t>
  </si>
  <si>
    <t>Brucella Abortus (S19 strain) Vaccine, Live Freeze Dried</t>
  </si>
  <si>
    <t>Sr.No.</t>
  </si>
  <si>
    <t>Dosage form and strength</t>
  </si>
  <si>
    <t>Tablet 500 mg
(controlled release)</t>
  </si>
  <si>
    <t>Recombinant Tissue Plasminogen Activator (TNK – t-PA)</t>
  </si>
  <si>
    <t>Powder for injection 4 mg</t>
  </si>
  <si>
    <t>Ceiling Price</t>
  </si>
  <si>
    <t>S.O. No.</t>
  </si>
  <si>
    <t>S.O. Date</t>
  </si>
  <si>
    <t>S.O. 5939(E)</t>
  </si>
  <si>
    <t>S.O. 5938(E)</t>
  </si>
  <si>
    <t>19.12.2022</t>
  </si>
  <si>
    <t>S.O. 195(E) &amp; 11.01.2023</t>
  </si>
  <si>
    <t xml:space="preserve">S.O. 195(E) &amp; </t>
  </si>
  <si>
    <t>11.01.2023</t>
  </si>
  <si>
    <t>S.O. 194(E) &amp; 11.01.2023</t>
  </si>
  <si>
    <t xml:space="preserve">S.O. 194(E) </t>
  </si>
  <si>
    <t>S.O. 87(E) &amp; 06.01.2023</t>
  </si>
  <si>
    <t>S.O. 88(E) &amp; 06.01.2023</t>
  </si>
  <si>
    <t>S.O. 484(E) &amp; 02.02.2023</t>
  </si>
  <si>
    <t>S.O. 485(E) &amp; 02.02.2023</t>
  </si>
  <si>
    <t>Therapautic Category</t>
  </si>
  <si>
    <t>Sub-Therapautic Category</t>
  </si>
  <si>
    <t>Medicines used in Anaesthesia</t>
  </si>
  <si>
    <t>General Anaesthetics and Oxygen</t>
  </si>
  <si>
    <t>Local Anaesthetics</t>
  </si>
  <si>
    <t>Preoperative Medication and Sedation for Short Term Procedures</t>
  </si>
  <si>
    <t>Muscle Relaxants and Cholinesterase Inhibitors</t>
  </si>
  <si>
    <t>Analgesics, Antipyretics, Non-steroidal Anti-inflammatory Drugs (NSAIDs), Medicines used to treat Gout and Disease Modifying Agents used in Rheumatoid Disorders</t>
  </si>
  <si>
    <t>Non-opioid Analgesics, Antipyretics and Non-steroidal Anti- inflammatory Drugs</t>
  </si>
  <si>
    <t>Opioid Analgesics</t>
  </si>
  <si>
    <t>Medicines used to treat Gout</t>
  </si>
  <si>
    <t>Disease Modifying Agents used in Rheumatoid Disorders</t>
  </si>
  <si>
    <t>Nonspecific</t>
  </si>
  <si>
    <t>Specific</t>
  </si>
  <si>
    <t>Anticonvulsants/ Antiepileptics</t>
  </si>
  <si>
    <t>Antimigraine Medicines</t>
  </si>
  <si>
    <t>For Prophylaxis</t>
  </si>
  <si>
    <t>Antiparkinsonism Medicines</t>
  </si>
  <si>
    <t>Medicines used in Dementia</t>
  </si>
  <si>
    <t>Intestinal Anthelminthics</t>
  </si>
  <si>
    <t>Anthelminthics</t>
  </si>
  <si>
    <t>Antifilarial</t>
  </si>
  <si>
    <t>Anti-schistosomal and Anti-trematodal Medicine</t>
  </si>
  <si>
    <t>Antibacterials</t>
  </si>
  <si>
    <t>Other Antibacterials</t>
  </si>
  <si>
    <t>Beta-lactam Medicines</t>
  </si>
  <si>
    <t>Antileprosy Medicines</t>
  </si>
  <si>
    <t>Antituberculosis Medicines</t>
  </si>
  <si>
    <t>Antifungal Medicines</t>
  </si>
  <si>
    <t>Antiviral Medicines</t>
  </si>
  <si>
    <t>Medicines used in the Management of HIV</t>
  </si>
  <si>
    <t>Nucleoside Reverse Transcriptase Inhibitors</t>
  </si>
  <si>
    <t>Non-nucleoside Reverse Transcriptase Inhibitors</t>
  </si>
  <si>
    <t>Integrase Inhibitors</t>
  </si>
  <si>
    <t>Protease Inhibitors</t>
  </si>
  <si>
    <t>Medicines for treating Opportunistic Infections in People living with HIV</t>
  </si>
  <si>
    <t>Additional Medicines for Syndromic Management of Sexually Transmitted Infections</t>
  </si>
  <si>
    <t>Medicines used in Hepatitis B and Hepatitis C</t>
  </si>
  <si>
    <t>Gastrointestinal Medicines</t>
  </si>
  <si>
    <t>Cardiovascular Medicines</t>
  </si>
  <si>
    <t>Anti-cancer agents including Immunosuppressives and Medicines used in Palliative Care</t>
  </si>
  <si>
    <t>Medicines used in treatment of Psychiatric Disorders</t>
  </si>
  <si>
    <t>Ophthalmological Medicines</t>
  </si>
  <si>
    <t>Dermatological Medicines (Topical)</t>
  </si>
  <si>
    <t>Ear, Nose and Throat Medicines</t>
  </si>
  <si>
    <t>Medicines acting on the Respiratory tract</t>
  </si>
  <si>
    <t>Medicines for Neonatal Care</t>
  </si>
  <si>
    <t>Hormones, other Endocrine Medicines and Contraceptives</t>
  </si>
  <si>
    <t>Vitamins and Minerals</t>
  </si>
  <si>
    <t>Blood products and Plasma substitutes</t>
  </si>
  <si>
    <t>Medicines for COVID-19 management</t>
  </si>
  <si>
    <t>Oxytocics and Antioxytocics</t>
  </si>
  <si>
    <t>Immunologicals</t>
  </si>
  <si>
    <t>Medicines affecting Blood</t>
  </si>
  <si>
    <t>Diuretics</t>
  </si>
  <si>
    <t>Solutions correcting Water, Electrolyte disturbances and Acid-base disturbances</t>
  </si>
  <si>
    <t>Diagnostic agents</t>
  </si>
  <si>
    <t>Antiseptics and Disinfectants</t>
  </si>
  <si>
    <t>Vitamins and Mineral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</si>
</sst>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3" xfId="0" applyFont="1" applyBorder="1"/>
    <xf numFmtId="2" fontId="2" fillId="0" borderId="1" xfId="0" applyNumberFormat="1" applyFont="1" applyBorder="1" applyAlignment="1">
      <alignment horizontal="right" vertical="top" shrinkToFit="1"/>
    </xf>
    <xf numFmtId="2" fontId="2" fillId="0" borderId="1" xfId="0" applyNumberFormat="1" applyFont="1" applyBorder="1" applyAlignment="1">
      <alignment horizontal="right" vertical="center" shrinkToFit="1"/>
    </xf>
    <xf numFmtId="0" fontId="1" fillId="0" borderId="2" xfId="0" applyFont="1" applyBorder="1"/>
    <xf numFmtId="0" fontId="0" fillId="0" borderId="4" xfId="0" applyBorder="1"/>
    <xf numFmtId="43" fontId="0" fillId="0" borderId="1" xfId="1" applyFont="1" applyBorder="1"/>
    <xf numFmtId="43" fontId="0" fillId="0" borderId="1" xfId="1" applyFont="1" applyBorder="1" applyAlignment="1">
      <alignment vertical="center"/>
    </xf>
    <xf numFmtId="43" fontId="0" fillId="0" borderId="1" xfId="1" applyFont="1" applyFill="1" applyBorder="1"/>
    <xf numFmtId="10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21"/>
  <sheetViews>
    <sheetView tabSelected="1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11" sqref="A11"/>
    </sheetView>
  </sheetViews>
  <sheetFormatPr defaultRowHeight="15" x14ac:dyDescent="0.25"/>
  <cols>
    <col min="2" max="2" width="7.7109375" customWidth="1"/>
    <col min="3" max="3" width="28.85546875" customWidth="1"/>
    <col min="4" max="4" width="17.28515625" bestFit="1" customWidth="1"/>
    <col min="5" max="5" width="96.28515625" bestFit="1" customWidth="1"/>
    <col min="7" max="7" width="12" hidden="1" customWidth="1"/>
    <col min="8" max="8" width="11.42578125" hidden="1" customWidth="1"/>
    <col min="9" max="9" width="10.140625" hidden="1" customWidth="1"/>
    <col min="10" max="12" width="0" hidden="1" customWidth="1"/>
    <col min="13" max="13" width="18.7109375" hidden="1" customWidth="1"/>
    <col min="14" max="14" width="22.28515625" hidden="1" customWidth="1"/>
    <col min="15" max="20" width="0" hidden="1" customWidth="1"/>
    <col min="27" max="27" width="0" hidden="1" customWidth="1"/>
  </cols>
  <sheetData>
    <row r="1" spans="1:27" x14ac:dyDescent="0.25">
      <c r="G1" s="17"/>
    </row>
    <row r="2" spans="1:27" x14ac:dyDescent="0.25">
      <c r="B2" s="3" t="s">
        <v>505</v>
      </c>
      <c r="M2" t="s">
        <v>735</v>
      </c>
    </row>
    <row r="3" spans="1:27" x14ac:dyDescent="0.25">
      <c r="B3" s="3" t="s">
        <v>506</v>
      </c>
    </row>
    <row r="5" spans="1:27" x14ac:dyDescent="0.25">
      <c r="B5" s="1"/>
      <c r="C5" s="2" t="s">
        <v>464</v>
      </c>
      <c r="D5" s="2" t="s">
        <v>507</v>
      </c>
      <c r="E5" s="2" t="s">
        <v>508</v>
      </c>
      <c r="G5" s="9" t="s">
        <v>1613</v>
      </c>
      <c r="H5" s="9" t="s">
        <v>1614</v>
      </c>
      <c r="I5" s="9" t="s">
        <v>1615</v>
      </c>
    </row>
    <row r="6" spans="1:27" x14ac:dyDescent="0.25">
      <c r="B6" s="2" t="s">
        <v>505</v>
      </c>
      <c r="C6" s="2"/>
      <c r="D6" s="2"/>
      <c r="E6" s="2"/>
    </row>
    <row r="7" spans="1:27" x14ac:dyDescent="0.25">
      <c r="B7" s="2" t="s">
        <v>506</v>
      </c>
      <c r="C7" s="2"/>
      <c r="D7" s="2"/>
      <c r="E7" s="2"/>
    </row>
    <row r="8" spans="1:27" x14ac:dyDescent="0.25">
      <c r="A8">
        <v>1</v>
      </c>
      <c r="B8" s="2">
        <v>2</v>
      </c>
      <c r="C8" s="2">
        <v>3</v>
      </c>
      <c r="D8" s="2">
        <v>4</v>
      </c>
      <c r="E8" s="2">
        <v>5</v>
      </c>
      <c r="F8" s="12">
        <v>6</v>
      </c>
      <c r="G8" s="12">
        <v>7</v>
      </c>
      <c r="H8" s="13"/>
      <c r="M8" t="s">
        <v>1628</v>
      </c>
      <c r="N8" t="s">
        <v>1629</v>
      </c>
    </row>
    <row r="9" spans="1:27" x14ac:dyDescent="0.25">
      <c r="B9" s="1" t="s">
        <v>509</v>
      </c>
      <c r="C9" s="1" t="s">
        <v>510</v>
      </c>
      <c r="D9" s="1" t="s">
        <v>124</v>
      </c>
      <c r="E9" s="1" t="s">
        <v>511</v>
      </c>
      <c r="M9" t="s">
        <v>1666</v>
      </c>
      <c r="AA9" t="str">
        <f t="shared" ref="AA9:AA72" si="0">C9&amp;" "&amp;E9</f>
        <v>5-aminosalicylic acid (Mesalazine/ Mesalaine) Tablet 400 mg</v>
      </c>
    </row>
    <row r="10" spans="1:27" x14ac:dyDescent="0.25">
      <c r="B10" s="1" t="s">
        <v>509</v>
      </c>
      <c r="C10" s="1" t="s">
        <v>510</v>
      </c>
      <c r="D10" s="1" t="s">
        <v>124</v>
      </c>
      <c r="E10" s="1" t="s">
        <v>512</v>
      </c>
      <c r="M10" t="s">
        <v>1666</v>
      </c>
      <c r="AA10" t="str">
        <f t="shared" si="0"/>
        <v>5-aminosalicylic acid (Mesalazine/ Mesalaine) Suppository 500 mg Retention Enema</v>
      </c>
    </row>
    <row r="11" spans="1:27" x14ac:dyDescent="0.25">
      <c r="B11" s="1" t="s">
        <v>513</v>
      </c>
      <c r="C11" s="1" t="s">
        <v>514</v>
      </c>
      <c r="D11" s="1" t="s">
        <v>8</v>
      </c>
      <c r="E11" s="1" t="s">
        <v>515</v>
      </c>
      <c r="AA11" t="str">
        <f t="shared" si="0"/>
        <v>5-Fluorouracil Injection 250 mg/ 5 mL</v>
      </c>
    </row>
    <row r="12" spans="1:27" x14ac:dyDescent="0.25">
      <c r="B12" s="1" t="s">
        <v>516</v>
      </c>
      <c r="C12" s="1" t="s">
        <v>517</v>
      </c>
      <c r="D12" s="1" t="s">
        <v>8</v>
      </c>
      <c r="E12" s="1" t="s">
        <v>28</v>
      </c>
      <c r="G12" s="14">
        <v>4.6900000000000004</v>
      </c>
      <c r="H12" s="1" t="s">
        <v>1622</v>
      </c>
      <c r="AA12" t="str">
        <f t="shared" si="0"/>
        <v>6-Mercaptopurine Tablet 50 mg</v>
      </c>
    </row>
    <row r="13" spans="1:27" x14ac:dyDescent="0.25">
      <c r="B13" s="1" t="s">
        <v>518</v>
      </c>
      <c r="C13" s="1" t="s">
        <v>519</v>
      </c>
      <c r="D13" s="1" t="s">
        <v>19</v>
      </c>
      <c r="E13" s="1" t="s">
        <v>278</v>
      </c>
      <c r="G13" s="10">
        <v>43.34</v>
      </c>
      <c r="H13" s="13" t="s">
        <v>1617</v>
      </c>
      <c r="I13" s="13" t="s">
        <v>1618</v>
      </c>
      <c r="M13" t="s">
        <v>735</v>
      </c>
      <c r="N13" t="s">
        <v>1658</v>
      </c>
      <c r="O13" t="s">
        <v>1659</v>
      </c>
      <c r="AA13" t="str">
        <f t="shared" si="0"/>
        <v>Abacavir Tablet 300 mg</v>
      </c>
    </row>
    <row r="14" spans="1:27" x14ac:dyDescent="0.25">
      <c r="B14" s="1" t="s">
        <v>518</v>
      </c>
      <c r="C14" s="1" t="s">
        <v>519</v>
      </c>
      <c r="D14" s="1" t="s">
        <v>19</v>
      </c>
      <c r="E14" s="1" t="s">
        <v>520</v>
      </c>
      <c r="M14" t="s">
        <v>735</v>
      </c>
      <c r="N14" t="s">
        <v>1658</v>
      </c>
      <c r="O14" t="s">
        <v>1659</v>
      </c>
      <c r="AA14" t="str">
        <f t="shared" si="0"/>
        <v>Abacavir Tablet 60 mg (p)</v>
      </c>
    </row>
    <row r="15" spans="1:27" x14ac:dyDescent="0.25">
      <c r="B15" s="1" t="s">
        <v>521</v>
      </c>
      <c r="C15" s="1" t="s">
        <v>522</v>
      </c>
      <c r="D15" s="1" t="s">
        <v>19</v>
      </c>
      <c r="E15" s="1" t="s">
        <v>523</v>
      </c>
      <c r="G15" s="11">
        <v>64.5</v>
      </c>
      <c r="H15" s="13" t="s">
        <v>1617</v>
      </c>
      <c r="I15" s="13" t="s">
        <v>1618</v>
      </c>
      <c r="M15" t="s">
        <v>735</v>
      </c>
      <c r="N15" t="s">
        <v>1658</v>
      </c>
      <c r="O15" t="s">
        <v>1659</v>
      </c>
      <c r="AA15" t="str">
        <f t="shared" si="0"/>
        <v>Abacavir (A) + Lamivudine (B) Tablet 600 mg (A) + 300 mg (B)</v>
      </c>
    </row>
    <row r="16" spans="1:27" x14ac:dyDescent="0.25">
      <c r="B16" s="1" t="s">
        <v>521</v>
      </c>
      <c r="C16" s="1" t="s">
        <v>522</v>
      </c>
      <c r="D16" s="1" t="s">
        <v>19</v>
      </c>
      <c r="E16" s="1" t="s">
        <v>524</v>
      </c>
      <c r="M16" t="s">
        <v>735</v>
      </c>
      <c r="N16" t="s">
        <v>1658</v>
      </c>
      <c r="O16" t="s">
        <v>1659</v>
      </c>
      <c r="AA16" t="str">
        <f t="shared" si="0"/>
        <v>Abacavir (A) + Lamivudine (B) Tablet  60 mg (A) + 30 mg (B) (p)</v>
      </c>
    </row>
    <row r="17" spans="2:27" x14ac:dyDescent="0.25">
      <c r="B17" s="1" t="s">
        <v>525</v>
      </c>
      <c r="C17" s="1" t="s">
        <v>526</v>
      </c>
      <c r="D17" s="1" t="s">
        <v>4</v>
      </c>
      <c r="E17" s="1" t="s">
        <v>309</v>
      </c>
      <c r="G17" s="14">
        <v>3.62</v>
      </c>
      <c r="H17" s="14" t="s">
        <v>1624</v>
      </c>
      <c r="AA17" t="str">
        <f t="shared" si="0"/>
        <v>Acetazolamide Tablet 250 mg</v>
      </c>
    </row>
    <row r="18" spans="2:27" x14ac:dyDescent="0.25">
      <c r="B18" s="1" t="s">
        <v>527</v>
      </c>
      <c r="C18" s="1" t="s">
        <v>528</v>
      </c>
      <c r="D18" s="1" t="s">
        <v>4</v>
      </c>
      <c r="E18" s="1" t="s">
        <v>529</v>
      </c>
      <c r="M18" t="s">
        <v>1635</v>
      </c>
      <c r="N18" t="s">
        <v>1636</v>
      </c>
      <c r="AA18" t="str">
        <f t="shared" si="0"/>
        <v xml:space="preserve">Acetylsalicylic acid Tablet 300 mg to 500 mg </v>
      </c>
    </row>
    <row r="19" spans="2:27" x14ac:dyDescent="0.25">
      <c r="B19" s="1"/>
      <c r="C19" s="1"/>
      <c r="D19" s="1"/>
      <c r="E19" s="1"/>
      <c r="J19" t="s">
        <v>530</v>
      </c>
      <c r="K19" t="str">
        <f t="shared" ref="K19:K72" si="1">C19&amp;" "&amp;E19</f>
        <v xml:space="preserve"> </v>
      </c>
      <c r="L19">
        <f t="shared" ref="L19:L72" si="2">B19</f>
        <v>0</v>
      </c>
      <c r="AA19" t="str">
        <f t="shared" si="0"/>
        <v xml:space="preserve"> </v>
      </c>
    </row>
    <row r="20" spans="2:27" x14ac:dyDescent="0.25">
      <c r="B20" s="2" t="s">
        <v>531</v>
      </c>
      <c r="C20" s="1"/>
      <c r="D20" s="1"/>
      <c r="E20" s="1"/>
      <c r="J20" t="s">
        <v>530</v>
      </c>
      <c r="K20" t="str">
        <f t="shared" si="1"/>
        <v xml:space="preserve"> </v>
      </c>
      <c r="L20" t="str">
        <f t="shared" si="2"/>
        <v>1.2-Local Anaesthetics</v>
      </c>
      <c r="AA20" t="str">
        <f t="shared" si="0"/>
        <v xml:space="preserve"> </v>
      </c>
    </row>
    <row r="21" spans="2:27" x14ac:dyDescent="0.25">
      <c r="B21" s="1" t="s">
        <v>527</v>
      </c>
      <c r="C21" s="1" t="s">
        <v>528</v>
      </c>
      <c r="D21" s="1" t="s">
        <v>4</v>
      </c>
      <c r="E21" s="1" t="s">
        <v>532</v>
      </c>
      <c r="M21" t="s">
        <v>1635</v>
      </c>
      <c r="N21" t="s">
        <v>1636</v>
      </c>
      <c r="AA21" t="str">
        <f t="shared" si="0"/>
        <v>Acetylsalicylic acid Effervescent/ Dispersible/ Enteric coated Tablet 300 mg to 500 mg</v>
      </c>
    </row>
    <row r="22" spans="2:27" x14ac:dyDescent="0.25">
      <c r="B22" s="1" t="s">
        <v>533</v>
      </c>
      <c r="C22" s="1" t="s">
        <v>528</v>
      </c>
      <c r="D22" s="1" t="s">
        <v>4</v>
      </c>
      <c r="E22" s="1" t="s">
        <v>534</v>
      </c>
      <c r="M22" t="s">
        <v>651</v>
      </c>
      <c r="N22" t="s">
        <v>1643</v>
      </c>
      <c r="AA22" t="str">
        <f t="shared" si="0"/>
        <v>Acetylsalicylic acid Tablet 300 mg to 500 mg</v>
      </c>
    </row>
    <row r="23" spans="2:27" x14ac:dyDescent="0.25">
      <c r="B23" s="1" t="s">
        <v>533</v>
      </c>
      <c r="C23" s="1" t="s">
        <v>528</v>
      </c>
      <c r="D23" s="1" t="s">
        <v>4</v>
      </c>
      <c r="E23" s="1" t="s">
        <v>532</v>
      </c>
      <c r="M23" t="s">
        <v>651</v>
      </c>
      <c r="N23" t="s">
        <v>1643</v>
      </c>
      <c r="AA23" t="str">
        <f t="shared" si="0"/>
        <v>Acetylsalicylic acid Effervescent/ Dispersible/ Enteric coated Tablet 300 mg to 500 mg</v>
      </c>
    </row>
    <row r="24" spans="2:27" x14ac:dyDescent="0.25">
      <c r="B24" s="1" t="s">
        <v>535</v>
      </c>
      <c r="C24" s="1" t="s">
        <v>528</v>
      </c>
      <c r="D24" s="1" t="s">
        <v>4</v>
      </c>
      <c r="E24" s="1" t="s">
        <v>536</v>
      </c>
      <c r="M24" t="s">
        <v>1667</v>
      </c>
      <c r="AA24" t="str">
        <f t="shared" si="0"/>
        <v>Acetylsalicylic acid Conventional/Effervescent/ Dispersible/ Enteric coated Tablet 100 mg</v>
      </c>
    </row>
    <row r="25" spans="2:27" x14ac:dyDescent="0.25">
      <c r="B25" s="1" t="s">
        <v>535</v>
      </c>
      <c r="C25" s="1" t="s">
        <v>528</v>
      </c>
      <c r="D25" s="1" t="s">
        <v>4</v>
      </c>
      <c r="E25" s="1" t="s">
        <v>537</v>
      </c>
      <c r="M25" t="s">
        <v>1667</v>
      </c>
      <c r="AA25" t="str">
        <f t="shared" si="0"/>
        <v>Acetylsalicylic acid Conventional/Effervescent/ Dispersible/ Enteric coated Tablet   75 mg</v>
      </c>
    </row>
    <row r="26" spans="2:27" x14ac:dyDescent="0.25">
      <c r="B26" s="1" t="s">
        <v>535</v>
      </c>
      <c r="C26" s="1" t="s">
        <v>528</v>
      </c>
      <c r="D26" s="1" t="s">
        <v>4</v>
      </c>
      <c r="E26" s="1" t="s">
        <v>538</v>
      </c>
      <c r="M26" t="s">
        <v>1667</v>
      </c>
      <c r="AA26" t="str">
        <f t="shared" si="0"/>
        <v>Acetylsalicylic acid Conventional/Effervescent/ Dispersible/ Enteric coated Tablets 325 mg</v>
      </c>
    </row>
    <row r="27" spans="2:27" x14ac:dyDescent="0.25">
      <c r="B27" s="1" t="s">
        <v>535</v>
      </c>
      <c r="C27" s="1" t="s">
        <v>528</v>
      </c>
      <c r="D27" s="1" t="s">
        <v>4</v>
      </c>
      <c r="E27" s="1" t="s">
        <v>539</v>
      </c>
      <c r="M27" t="s">
        <v>1667</v>
      </c>
      <c r="AA27" t="str">
        <f t="shared" si="0"/>
        <v>Acetylsalicylic acid Conventional/Effervescent/ Dispersible/ Enteric coated Tablets 150 mg</v>
      </c>
    </row>
    <row r="28" spans="2:27" x14ac:dyDescent="0.25">
      <c r="B28" s="1" t="s">
        <v>402</v>
      </c>
      <c r="C28" s="1" t="s">
        <v>540</v>
      </c>
      <c r="D28" s="1" t="s">
        <v>8</v>
      </c>
      <c r="E28" s="1" t="s">
        <v>541</v>
      </c>
      <c r="AA28" t="str">
        <f t="shared" si="0"/>
        <v>Actinomycin D Powder for Injection 0.5 mg</v>
      </c>
    </row>
    <row r="29" spans="2:27" x14ac:dyDescent="0.25">
      <c r="B29" s="1" t="s">
        <v>542</v>
      </c>
      <c r="C29" s="1" t="s">
        <v>543</v>
      </c>
      <c r="D29" s="1" t="s">
        <v>4</v>
      </c>
      <c r="E29" s="1" t="s">
        <v>544</v>
      </c>
      <c r="M29" t="s">
        <v>631</v>
      </c>
      <c r="N29" t="s">
        <v>1640</v>
      </c>
      <c r="AA29" t="str">
        <f t="shared" si="0"/>
        <v>Activated Charcoal Powder (as licensed)</v>
      </c>
    </row>
    <row r="30" spans="2:27" x14ac:dyDescent="0.25">
      <c r="B30" s="1"/>
      <c r="C30" s="1"/>
      <c r="D30" s="1"/>
      <c r="E30" s="1"/>
      <c r="J30" t="s">
        <v>530</v>
      </c>
      <c r="K30" t="str">
        <f t="shared" si="1"/>
        <v xml:space="preserve"> </v>
      </c>
      <c r="L30">
        <f t="shared" si="2"/>
        <v>0</v>
      </c>
      <c r="AA30" t="str">
        <f t="shared" si="0"/>
        <v xml:space="preserve"> </v>
      </c>
    </row>
    <row r="31" spans="2:27" x14ac:dyDescent="0.25">
      <c r="B31" s="2" t="s">
        <v>545</v>
      </c>
      <c r="C31" s="1"/>
      <c r="D31" s="1"/>
      <c r="E31" s="1"/>
      <c r="J31" t="s">
        <v>530</v>
      </c>
      <c r="K31" t="str">
        <f t="shared" si="1"/>
        <v xml:space="preserve"> </v>
      </c>
      <c r="L31" t="str">
        <f t="shared" si="2"/>
        <v>1.3- Preoperative Medication and Sedation for Short Term Procedures</v>
      </c>
      <c r="AA31" t="str">
        <f t="shared" si="0"/>
        <v xml:space="preserve"> </v>
      </c>
    </row>
    <row r="32" spans="2:27" x14ac:dyDescent="0.25">
      <c r="B32" s="1" t="s">
        <v>2</v>
      </c>
      <c r="C32" s="1" t="s">
        <v>3</v>
      </c>
      <c r="D32" s="1" t="s">
        <v>4</v>
      </c>
      <c r="E32" s="1" t="s">
        <v>114</v>
      </c>
      <c r="G32" s="14">
        <v>6.79</v>
      </c>
      <c r="H32" s="14" t="s">
        <v>1624</v>
      </c>
      <c r="M32" t="s">
        <v>735</v>
      </c>
      <c r="N32" t="s">
        <v>1657</v>
      </c>
      <c r="AA32" t="str">
        <f t="shared" si="0"/>
        <v>Acyclovir Tablet 200 mg</v>
      </c>
    </row>
    <row r="33" spans="2:27" x14ac:dyDescent="0.25">
      <c r="B33" s="1" t="s">
        <v>2</v>
      </c>
      <c r="C33" s="1" t="s">
        <v>3</v>
      </c>
      <c r="D33" s="1" t="s">
        <v>4</v>
      </c>
      <c r="E33" s="1" t="s">
        <v>511</v>
      </c>
      <c r="G33" s="14">
        <v>12.18</v>
      </c>
      <c r="H33" s="14" t="s">
        <v>1624</v>
      </c>
      <c r="M33" t="s">
        <v>735</v>
      </c>
      <c r="N33" t="s">
        <v>1657</v>
      </c>
      <c r="AA33" t="str">
        <f t="shared" si="0"/>
        <v>Acyclovir Tablet 400 mg</v>
      </c>
    </row>
    <row r="34" spans="2:27" x14ac:dyDescent="0.25">
      <c r="B34" s="1" t="s">
        <v>2</v>
      </c>
      <c r="C34" s="1" t="s">
        <v>3</v>
      </c>
      <c r="D34" s="1" t="s">
        <v>4</v>
      </c>
      <c r="E34" s="1" t="s">
        <v>5</v>
      </c>
      <c r="G34" s="14">
        <v>33.590000000000003</v>
      </c>
      <c r="H34" s="14" t="s">
        <v>1619</v>
      </c>
      <c r="M34" t="s">
        <v>735</v>
      </c>
      <c r="N34" t="s">
        <v>1657</v>
      </c>
      <c r="AA34" t="str">
        <f t="shared" si="0"/>
        <v>Acyclovir Tablet 800 mg</v>
      </c>
    </row>
    <row r="35" spans="2:27" x14ac:dyDescent="0.25">
      <c r="B35" s="1" t="s">
        <v>2</v>
      </c>
      <c r="C35" s="1" t="s">
        <v>3</v>
      </c>
      <c r="D35" s="1" t="s">
        <v>4</v>
      </c>
      <c r="E35" s="1" t="s">
        <v>16</v>
      </c>
      <c r="G35" s="14">
        <v>380.28</v>
      </c>
      <c r="H35" s="1" t="s">
        <v>1622</v>
      </c>
      <c r="M35" t="s">
        <v>735</v>
      </c>
      <c r="N35" t="s">
        <v>1657</v>
      </c>
      <c r="AA35" t="str">
        <f t="shared" si="0"/>
        <v>Acyclovir Powder for Injection 250 mg</v>
      </c>
    </row>
    <row r="36" spans="2:27" x14ac:dyDescent="0.25">
      <c r="B36" s="1" t="s">
        <v>2</v>
      </c>
      <c r="C36" s="1" t="s">
        <v>3</v>
      </c>
      <c r="D36" s="1" t="s">
        <v>4</v>
      </c>
      <c r="E36" s="1" t="s">
        <v>13</v>
      </c>
      <c r="G36" s="14">
        <v>471.29</v>
      </c>
      <c r="H36" s="1" t="s">
        <v>1622</v>
      </c>
      <c r="M36" t="s">
        <v>735</v>
      </c>
      <c r="N36" t="s">
        <v>1657</v>
      </c>
      <c r="AA36" t="str">
        <f t="shared" si="0"/>
        <v xml:space="preserve">Acyclovir Powder for Injection 500 mg </v>
      </c>
    </row>
    <row r="37" spans="2:27" x14ac:dyDescent="0.25">
      <c r="B37" s="1" t="s">
        <v>2</v>
      </c>
      <c r="C37" s="1" t="s">
        <v>3</v>
      </c>
      <c r="D37" s="1" t="s">
        <v>4</v>
      </c>
      <c r="E37" s="1" t="s">
        <v>546</v>
      </c>
      <c r="M37" t="s">
        <v>735</v>
      </c>
      <c r="N37" t="s">
        <v>1657</v>
      </c>
      <c r="AA37" t="str">
        <f t="shared" si="0"/>
        <v>Acyclovir Oral liquid 400 mg/5 mL (p)</v>
      </c>
    </row>
    <row r="38" spans="2:27" x14ac:dyDescent="0.25">
      <c r="B38" s="1" t="s">
        <v>547</v>
      </c>
      <c r="C38" s="1" t="s">
        <v>3</v>
      </c>
      <c r="D38" s="1" t="s">
        <v>4</v>
      </c>
      <c r="E38" s="1" t="s">
        <v>548</v>
      </c>
      <c r="AA38" t="str">
        <f t="shared" si="0"/>
        <v>Acyclovir Ointment 3%</v>
      </c>
    </row>
    <row r="39" spans="2:27" x14ac:dyDescent="0.25">
      <c r="B39" s="1" t="s">
        <v>549</v>
      </c>
      <c r="C39" s="1" t="s">
        <v>550</v>
      </c>
      <c r="D39" s="1" t="s">
        <v>4</v>
      </c>
      <c r="E39" s="1" t="s">
        <v>551</v>
      </c>
      <c r="F39" s="5"/>
      <c r="M39" t="s">
        <v>735</v>
      </c>
      <c r="N39" t="s">
        <v>1658</v>
      </c>
      <c r="O39" t="s">
        <v>1663</v>
      </c>
      <c r="AA39" t="str">
        <f t="shared" si="0"/>
        <v>Acyclovir* Injection 250 mg</v>
      </c>
    </row>
    <row r="40" spans="2:27" x14ac:dyDescent="0.25">
      <c r="B40" s="1" t="s">
        <v>552</v>
      </c>
      <c r="C40" s="1" t="s">
        <v>553</v>
      </c>
      <c r="D40" s="1" t="s">
        <v>19</v>
      </c>
      <c r="E40" s="1" t="s">
        <v>554</v>
      </c>
      <c r="F40" s="5" t="s">
        <v>555</v>
      </c>
      <c r="G40" s="14">
        <v>82.81</v>
      </c>
      <c r="H40" s="1" t="s">
        <v>1622</v>
      </c>
      <c r="AA40" t="str">
        <f t="shared" si="0"/>
        <v>Adenosine Injection 3 mg/mL</v>
      </c>
    </row>
    <row r="41" spans="2:27" x14ac:dyDescent="0.25">
      <c r="B41" s="1"/>
      <c r="C41" s="1"/>
      <c r="D41" s="1"/>
      <c r="E41" s="1"/>
      <c r="J41" t="s">
        <v>530</v>
      </c>
      <c r="K41" t="str">
        <f t="shared" si="1"/>
        <v xml:space="preserve"> </v>
      </c>
      <c r="L41">
        <f t="shared" si="2"/>
        <v>0</v>
      </c>
      <c r="AA41" t="str">
        <f t="shared" si="0"/>
        <v xml:space="preserve"> </v>
      </c>
    </row>
    <row r="42" spans="2:27" x14ac:dyDescent="0.25">
      <c r="B42" s="2" t="s">
        <v>556</v>
      </c>
      <c r="C42" s="1"/>
      <c r="D42" s="1"/>
      <c r="E42" s="1"/>
      <c r="J42" t="s">
        <v>530</v>
      </c>
      <c r="K42" t="str">
        <f t="shared" si="1"/>
        <v xml:space="preserve"> </v>
      </c>
      <c r="L42" t="str">
        <f t="shared" si="2"/>
        <v>Section 1.4 -Muscle Relaxants and Cholinesterase Inhibitors</v>
      </c>
      <c r="AA42" t="str">
        <f t="shared" si="0"/>
        <v xml:space="preserve"> </v>
      </c>
    </row>
    <row r="43" spans="2:27" x14ac:dyDescent="0.25">
      <c r="B43" s="1">
        <v>3.1</v>
      </c>
      <c r="C43" s="1" t="s">
        <v>557</v>
      </c>
      <c r="D43" s="1" t="s">
        <v>4</v>
      </c>
      <c r="E43" s="1" t="s">
        <v>320</v>
      </c>
      <c r="M43" t="s">
        <v>598</v>
      </c>
      <c r="AA43" t="str">
        <f t="shared" si="0"/>
        <v>Adrenaline Injection 1 mg/mL</v>
      </c>
    </row>
    <row r="44" spans="2:27" x14ac:dyDescent="0.25">
      <c r="B44" s="1" t="s">
        <v>558</v>
      </c>
      <c r="C44" s="1" t="s">
        <v>559</v>
      </c>
      <c r="D44" s="1" t="s">
        <v>4</v>
      </c>
      <c r="E44" s="1" t="s">
        <v>560</v>
      </c>
      <c r="M44" t="s">
        <v>735</v>
      </c>
      <c r="N44" t="s">
        <v>1648</v>
      </c>
      <c r="O44" t="s">
        <v>1647</v>
      </c>
      <c r="AA44" t="str">
        <f t="shared" si="0"/>
        <v>Albendazole Oral liquid 200 mg/5 mL (p)</v>
      </c>
    </row>
    <row r="45" spans="2:27" x14ac:dyDescent="0.25">
      <c r="B45" s="1" t="s">
        <v>558</v>
      </c>
      <c r="C45" s="1" t="s">
        <v>559</v>
      </c>
      <c r="D45" s="1" t="s">
        <v>4</v>
      </c>
      <c r="E45" s="1" t="s">
        <v>561</v>
      </c>
      <c r="M45" t="s">
        <v>735</v>
      </c>
      <c r="N45" t="s">
        <v>1648</v>
      </c>
      <c r="O45" t="s">
        <v>1647</v>
      </c>
      <c r="AA45" t="str">
        <f t="shared" si="0"/>
        <v>Albendazole Chewable Tablet 400 mg</v>
      </c>
    </row>
    <row r="46" spans="2:27" x14ac:dyDescent="0.25">
      <c r="B46" s="1" t="s">
        <v>558</v>
      </c>
      <c r="C46" s="1" t="s">
        <v>559</v>
      </c>
      <c r="D46" s="1" t="s">
        <v>4</v>
      </c>
      <c r="E46" s="1" t="s">
        <v>562</v>
      </c>
      <c r="M46" t="s">
        <v>735</v>
      </c>
      <c r="N46" t="s">
        <v>1648</v>
      </c>
      <c r="O46" t="s">
        <v>1647</v>
      </c>
      <c r="AA46" t="str">
        <f t="shared" si="0"/>
        <v xml:space="preserve">Albendazole Tablet 400 mg </v>
      </c>
    </row>
    <row r="47" spans="2:27" x14ac:dyDescent="0.25">
      <c r="B47" s="1" t="s">
        <v>563</v>
      </c>
      <c r="C47" s="1" t="s">
        <v>559</v>
      </c>
      <c r="D47" s="1" t="s">
        <v>4</v>
      </c>
      <c r="E47" s="1" t="s">
        <v>562</v>
      </c>
      <c r="M47" t="s">
        <v>735</v>
      </c>
      <c r="N47" t="s">
        <v>1648</v>
      </c>
      <c r="O47" t="s">
        <v>1649</v>
      </c>
      <c r="AA47" t="str">
        <f t="shared" si="0"/>
        <v xml:space="preserve">Albendazole Tablet 400 mg </v>
      </c>
    </row>
    <row r="48" spans="2:27" x14ac:dyDescent="0.25">
      <c r="B48" s="1" t="s">
        <v>563</v>
      </c>
      <c r="C48" s="1" t="s">
        <v>559</v>
      </c>
      <c r="D48" s="1" t="s">
        <v>4</v>
      </c>
      <c r="E48" s="1" t="s">
        <v>561</v>
      </c>
      <c r="M48" t="s">
        <v>735</v>
      </c>
      <c r="N48" t="s">
        <v>1648</v>
      </c>
      <c r="O48" t="s">
        <v>1649</v>
      </c>
      <c r="AA48" t="str">
        <f t="shared" si="0"/>
        <v>Albendazole Chewable Tablet 400 mg</v>
      </c>
    </row>
    <row r="49" spans="2:27" x14ac:dyDescent="0.25">
      <c r="B49" s="1" t="s">
        <v>563</v>
      </c>
      <c r="C49" s="1" t="s">
        <v>559</v>
      </c>
      <c r="D49" s="1" t="s">
        <v>4</v>
      </c>
      <c r="E49" s="1" t="s">
        <v>560</v>
      </c>
      <c r="M49" t="s">
        <v>735</v>
      </c>
      <c r="N49" t="s">
        <v>1648</v>
      </c>
      <c r="O49" t="s">
        <v>1649</v>
      </c>
      <c r="AA49" t="str">
        <f t="shared" si="0"/>
        <v>Albendazole Oral liquid 200 mg/5 mL (p)</v>
      </c>
    </row>
    <row r="50" spans="2:27" x14ac:dyDescent="0.25">
      <c r="B50" s="1" t="s">
        <v>564</v>
      </c>
      <c r="C50" s="1" t="s">
        <v>565</v>
      </c>
      <c r="D50" s="1" t="s">
        <v>4</v>
      </c>
      <c r="E50" s="1" t="s">
        <v>278</v>
      </c>
      <c r="G50" s="10">
        <v>5.0199999999999996</v>
      </c>
      <c r="H50" s="13" t="s">
        <v>1617</v>
      </c>
      <c r="I50" s="13" t="s">
        <v>1618</v>
      </c>
      <c r="M50" t="s">
        <v>1635</v>
      </c>
      <c r="N50" t="s">
        <v>1638</v>
      </c>
      <c r="AA50" t="str">
        <f t="shared" si="0"/>
        <v>Allopurinol Tablet 300 mg</v>
      </c>
    </row>
    <row r="51" spans="2:27" x14ac:dyDescent="0.25">
      <c r="B51" s="1" t="s">
        <v>564</v>
      </c>
      <c r="C51" s="1" t="s">
        <v>565</v>
      </c>
      <c r="D51" s="1" t="s">
        <v>4</v>
      </c>
      <c r="E51" s="1" t="s">
        <v>29</v>
      </c>
      <c r="G51" s="14">
        <v>1.69</v>
      </c>
      <c r="H51" s="14" t="s">
        <v>1624</v>
      </c>
      <c r="M51" t="s">
        <v>1635</v>
      </c>
      <c r="AA51" t="str">
        <f t="shared" si="0"/>
        <v>Allopurinol Tablet 100 mg</v>
      </c>
    </row>
    <row r="52" spans="2:27" x14ac:dyDescent="0.25">
      <c r="B52" s="1"/>
      <c r="C52" s="1"/>
      <c r="D52" s="1"/>
      <c r="E52" s="1"/>
      <c r="J52" t="s">
        <v>530</v>
      </c>
      <c r="K52" t="str">
        <f t="shared" si="1"/>
        <v xml:space="preserve"> </v>
      </c>
      <c r="L52">
        <f t="shared" si="2"/>
        <v>0</v>
      </c>
      <c r="AA52" t="str">
        <f t="shared" si="0"/>
        <v xml:space="preserve"> </v>
      </c>
    </row>
    <row r="53" spans="2:27" x14ac:dyDescent="0.25">
      <c r="B53" s="2" t="s">
        <v>566</v>
      </c>
      <c r="C53" s="1"/>
      <c r="D53" s="1"/>
      <c r="E53" s="1"/>
      <c r="J53" t="s">
        <v>530</v>
      </c>
      <c r="K53" t="str">
        <f t="shared" si="1"/>
        <v xml:space="preserve"> </v>
      </c>
      <c r="L53" t="str">
        <f t="shared" si="2"/>
        <v>2.1 - Non-opioid Analgesics, Antipyretics and Non-steroidal Anti- inflammatory Drugs</v>
      </c>
      <c r="AA53" t="str">
        <f t="shared" si="0"/>
        <v xml:space="preserve"> </v>
      </c>
    </row>
    <row r="54" spans="2:27" x14ac:dyDescent="0.25">
      <c r="B54" s="1" t="s">
        <v>567</v>
      </c>
      <c r="C54" s="1" t="s">
        <v>565</v>
      </c>
      <c r="D54" s="1" t="s">
        <v>19</v>
      </c>
      <c r="E54" s="1" t="s">
        <v>29</v>
      </c>
      <c r="F54" s="5"/>
      <c r="G54" s="14">
        <v>1.69</v>
      </c>
      <c r="H54" s="14" t="s">
        <v>1624</v>
      </c>
      <c r="AA54" t="str">
        <f t="shared" si="0"/>
        <v>Allopurinol Tablet 100 mg</v>
      </c>
    </row>
    <row r="55" spans="2:27" x14ac:dyDescent="0.25">
      <c r="B55" s="1" t="s">
        <v>568</v>
      </c>
      <c r="C55" s="1" t="s">
        <v>569</v>
      </c>
      <c r="D55" s="1" t="s">
        <v>8</v>
      </c>
      <c r="E55" s="1" t="s">
        <v>117</v>
      </c>
      <c r="AA55" t="str">
        <f t="shared" si="0"/>
        <v>All-trans retinoic acid Capsule 10 mg</v>
      </c>
    </row>
    <row r="56" spans="2:27" x14ac:dyDescent="0.25">
      <c r="B56" s="1">
        <v>20.100000000000001</v>
      </c>
      <c r="C56" s="1" t="s">
        <v>570</v>
      </c>
      <c r="D56" s="1" t="s">
        <v>19</v>
      </c>
      <c r="E56" s="1" t="s">
        <v>571</v>
      </c>
      <c r="AA56" t="str">
        <f t="shared" si="0"/>
        <v>Alprostadil Injection 0.5 mg/mL</v>
      </c>
    </row>
    <row r="57" spans="2:27" x14ac:dyDescent="0.25">
      <c r="B57" s="1" t="s">
        <v>17</v>
      </c>
      <c r="C57" s="1" t="s">
        <v>18</v>
      </c>
      <c r="D57" s="1" t="s">
        <v>19</v>
      </c>
      <c r="E57" s="1" t="s">
        <v>20</v>
      </c>
      <c r="M57" t="s">
        <v>735</v>
      </c>
      <c r="N57" t="s">
        <v>1655</v>
      </c>
      <c r="AA57" t="str">
        <f t="shared" si="0"/>
        <v>Amikacin Injection 100 mg/mL</v>
      </c>
    </row>
    <row r="58" spans="2:27" x14ac:dyDescent="0.25">
      <c r="B58" s="1" t="s">
        <v>17</v>
      </c>
      <c r="C58" s="1" t="s">
        <v>18</v>
      </c>
      <c r="D58" s="1" t="s">
        <v>19</v>
      </c>
      <c r="E58" s="1" t="s">
        <v>21</v>
      </c>
      <c r="M58" t="s">
        <v>735</v>
      </c>
      <c r="N58" t="s">
        <v>1655</v>
      </c>
      <c r="AA58" t="str">
        <f t="shared" si="0"/>
        <v>Amikacin Injection 250 mg/mL</v>
      </c>
    </row>
    <row r="59" spans="2:27" x14ac:dyDescent="0.25">
      <c r="B59" s="1" t="s">
        <v>17</v>
      </c>
      <c r="C59" s="1" t="s">
        <v>18</v>
      </c>
      <c r="D59" s="1" t="s">
        <v>19</v>
      </c>
      <c r="E59" s="1" t="s">
        <v>22</v>
      </c>
      <c r="M59" t="s">
        <v>735</v>
      </c>
      <c r="N59" t="s">
        <v>1655</v>
      </c>
      <c r="AA59" t="str">
        <f t="shared" si="0"/>
        <v>Amikacin Injection 500 mg/mL</v>
      </c>
    </row>
    <row r="60" spans="2:27" x14ac:dyDescent="0.25">
      <c r="B60" s="1" t="s">
        <v>572</v>
      </c>
      <c r="C60" s="1" t="s">
        <v>573</v>
      </c>
      <c r="D60" s="1" t="s">
        <v>19</v>
      </c>
      <c r="E60" s="1" t="s">
        <v>29</v>
      </c>
      <c r="G60" s="14">
        <v>5.48</v>
      </c>
      <c r="H60" s="14" t="s">
        <v>1624</v>
      </c>
      <c r="M60" t="s">
        <v>1667</v>
      </c>
      <c r="AA60" t="str">
        <f t="shared" si="0"/>
        <v>Amiodarone Tablet 100 mg</v>
      </c>
    </row>
    <row r="61" spans="2:27" x14ac:dyDescent="0.25">
      <c r="B61" s="1" t="s">
        <v>572</v>
      </c>
      <c r="C61" s="1" t="s">
        <v>573</v>
      </c>
      <c r="D61" s="1" t="s">
        <v>19</v>
      </c>
      <c r="E61" s="1" t="s">
        <v>114</v>
      </c>
      <c r="G61" s="14">
        <v>10.27</v>
      </c>
      <c r="H61" s="14" t="s">
        <v>1624</v>
      </c>
      <c r="M61" t="s">
        <v>1667</v>
      </c>
      <c r="AA61" t="str">
        <f t="shared" si="0"/>
        <v>Amiodarone Tablet 200 mg</v>
      </c>
    </row>
    <row r="62" spans="2:27" x14ac:dyDescent="0.25">
      <c r="B62" s="1" t="s">
        <v>572</v>
      </c>
      <c r="C62" s="1" t="s">
        <v>573</v>
      </c>
      <c r="D62" s="1" t="s">
        <v>19</v>
      </c>
      <c r="E62" s="1" t="s">
        <v>182</v>
      </c>
      <c r="G62" s="14">
        <v>18.850000000000001</v>
      </c>
      <c r="H62" s="1" t="s">
        <v>1622</v>
      </c>
      <c r="M62" t="s">
        <v>1667</v>
      </c>
      <c r="AA62" t="str">
        <f t="shared" si="0"/>
        <v>Amiodarone Injection 50 mg/mL</v>
      </c>
    </row>
    <row r="63" spans="2:27" x14ac:dyDescent="0.25">
      <c r="B63" s="1" t="s">
        <v>574</v>
      </c>
      <c r="C63" s="1" t="s">
        <v>575</v>
      </c>
      <c r="D63" s="1" t="s">
        <v>4</v>
      </c>
      <c r="E63" s="1" t="s">
        <v>132</v>
      </c>
      <c r="G63" s="10">
        <v>2.16</v>
      </c>
      <c r="H63" s="13" t="s">
        <v>1617</v>
      </c>
      <c r="I63" s="13" t="s">
        <v>1618</v>
      </c>
      <c r="M63" t="s">
        <v>651</v>
      </c>
      <c r="N63" t="s">
        <v>1644</v>
      </c>
      <c r="AA63" t="str">
        <f t="shared" si="0"/>
        <v>Amitriptyline Tablet 25 mg</v>
      </c>
    </row>
    <row r="64" spans="2:27" x14ac:dyDescent="0.25">
      <c r="B64" s="1" t="s">
        <v>574</v>
      </c>
      <c r="C64" s="1" t="s">
        <v>575</v>
      </c>
      <c r="D64" s="1" t="s">
        <v>4</v>
      </c>
      <c r="E64" s="1" t="s">
        <v>576</v>
      </c>
      <c r="G64" s="10">
        <v>4.7699999999999996</v>
      </c>
      <c r="H64" s="13" t="s">
        <v>1617</v>
      </c>
      <c r="I64" s="13" t="s">
        <v>1618</v>
      </c>
      <c r="M64" t="s">
        <v>651</v>
      </c>
      <c r="N64" t="s">
        <v>1644</v>
      </c>
      <c r="AA64" t="str">
        <f t="shared" si="0"/>
        <v>Amitriptyline Tablet 75 mg</v>
      </c>
    </row>
    <row r="65" spans="2:27" x14ac:dyDescent="0.25">
      <c r="B65" s="1" t="s">
        <v>574</v>
      </c>
      <c r="C65" s="1" t="s">
        <v>575</v>
      </c>
      <c r="D65" s="1" t="s">
        <v>4</v>
      </c>
      <c r="E65" s="1" t="s">
        <v>220</v>
      </c>
      <c r="G65" s="10">
        <v>4.8099999999999996</v>
      </c>
      <c r="H65" s="13" t="s">
        <v>1617</v>
      </c>
      <c r="I65" s="13" t="s">
        <v>1618</v>
      </c>
      <c r="M65" t="s">
        <v>651</v>
      </c>
      <c r="N65" t="s">
        <v>1644</v>
      </c>
      <c r="AA65" t="str">
        <f t="shared" si="0"/>
        <v>Amitriptyline Tablet 10 mg</v>
      </c>
    </row>
    <row r="66" spans="2:27" x14ac:dyDescent="0.25">
      <c r="B66" s="1" t="s">
        <v>577</v>
      </c>
      <c r="C66" s="1" t="s">
        <v>575</v>
      </c>
      <c r="D66" s="1" t="s">
        <v>19</v>
      </c>
      <c r="E66" s="1" t="s">
        <v>132</v>
      </c>
      <c r="G66" s="10">
        <v>2.16</v>
      </c>
      <c r="H66" s="13" t="s">
        <v>1617</v>
      </c>
      <c r="I66" s="13" t="s">
        <v>1618</v>
      </c>
      <c r="M66" t="s">
        <v>1668</v>
      </c>
      <c r="AA66" t="str">
        <f t="shared" si="0"/>
        <v>Amitriptyline Tablet 25 mg</v>
      </c>
    </row>
    <row r="67" spans="2:27" x14ac:dyDescent="0.25">
      <c r="B67" s="1" t="s">
        <v>577</v>
      </c>
      <c r="C67" s="1" t="s">
        <v>575</v>
      </c>
      <c r="D67" s="1" t="s">
        <v>19</v>
      </c>
      <c r="E67" s="1" t="s">
        <v>220</v>
      </c>
      <c r="G67" s="10">
        <v>4.8099999999999996</v>
      </c>
      <c r="H67" s="13" t="s">
        <v>1617</v>
      </c>
      <c r="I67" s="13" t="s">
        <v>1618</v>
      </c>
      <c r="J67" s="14">
        <v>2.13</v>
      </c>
      <c r="K67" s="1" t="s">
        <v>1622</v>
      </c>
      <c r="M67" t="s">
        <v>1668</v>
      </c>
      <c r="AA67" t="str">
        <f t="shared" si="0"/>
        <v>Amitriptyline Tablet 10 mg</v>
      </c>
    </row>
    <row r="68" spans="2:27" x14ac:dyDescent="0.25">
      <c r="B68" s="1" t="s">
        <v>578</v>
      </c>
      <c r="C68" s="1" t="s">
        <v>575</v>
      </c>
      <c r="D68" s="1" t="s">
        <v>4</v>
      </c>
      <c r="E68" s="1" t="s">
        <v>220</v>
      </c>
      <c r="G68" s="10">
        <v>4.8099999999999996</v>
      </c>
      <c r="H68" s="13" t="s">
        <v>1617</v>
      </c>
      <c r="I68" s="13" t="s">
        <v>1618</v>
      </c>
      <c r="J68" s="14">
        <v>2.13</v>
      </c>
      <c r="K68" s="1" t="s">
        <v>1622</v>
      </c>
      <c r="M68" t="s">
        <v>1669</v>
      </c>
      <c r="AA68" t="str">
        <f t="shared" si="0"/>
        <v>Amitriptyline Tablet 10 mg</v>
      </c>
    </row>
    <row r="69" spans="2:27" x14ac:dyDescent="0.25">
      <c r="B69" s="1" t="s">
        <v>578</v>
      </c>
      <c r="C69" s="1" t="s">
        <v>575</v>
      </c>
      <c r="D69" s="1" t="s">
        <v>4</v>
      </c>
      <c r="E69" s="1" t="s">
        <v>132</v>
      </c>
      <c r="G69" s="10">
        <v>2.16</v>
      </c>
      <c r="H69" s="13" t="s">
        <v>1617</v>
      </c>
      <c r="I69" s="13" t="s">
        <v>1618</v>
      </c>
      <c r="M69" t="s">
        <v>1669</v>
      </c>
      <c r="AA69" t="str">
        <f t="shared" si="0"/>
        <v>Amitriptyline Tablet 25 mg</v>
      </c>
    </row>
    <row r="70" spans="2:27" x14ac:dyDescent="0.25">
      <c r="B70" s="1" t="s">
        <v>578</v>
      </c>
      <c r="C70" s="1" t="s">
        <v>575</v>
      </c>
      <c r="D70" s="1" t="s">
        <v>4</v>
      </c>
      <c r="E70" s="1" t="s">
        <v>28</v>
      </c>
      <c r="G70" s="10">
        <v>5.34</v>
      </c>
      <c r="H70" s="13" t="s">
        <v>1617</v>
      </c>
      <c r="I70" s="13" t="s">
        <v>1618</v>
      </c>
      <c r="M70" t="s">
        <v>1669</v>
      </c>
      <c r="AA70" t="str">
        <f t="shared" si="0"/>
        <v>Amitriptyline Tablet 50 mg</v>
      </c>
    </row>
    <row r="71" spans="2:27" x14ac:dyDescent="0.25">
      <c r="B71" s="1"/>
      <c r="C71" s="1"/>
      <c r="D71" s="1"/>
      <c r="E71" s="1"/>
      <c r="J71" t="s">
        <v>530</v>
      </c>
      <c r="K71" t="str">
        <f t="shared" si="1"/>
        <v xml:space="preserve"> </v>
      </c>
      <c r="L71">
        <f t="shared" si="2"/>
        <v>0</v>
      </c>
      <c r="AA71" t="str">
        <f t="shared" si="0"/>
        <v xml:space="preserve"> </v>
      </c>
    </row>
    <row r="72" spans="2:27" x14ac:dyDescent="0.25">
      <c r="B72" s="2" t="s">
        <v>579</v>
      </c>
      <c r="C72" s="1"/>
      <c r="D72" s="1"/>
      <c r="E72" s="1"/>
      <c r="J72" t="s">
        <v>530</v>
      </c>
      <c r="K72" t="str">
        <f t="shared" si="1"/>
        <v xml:space="preserve"> </v>
      </c>
      <c r="L72" t="str">
        <f t="shared" si="2"/>
        <v>2.2-Opioid Analgesics</v>
      </c>
      <c r="AA72" t="str">
        <f t="shared" si="0"/>
        <v xml:space="preserve"> </v>
      </c>
    </row>
    <row r="73" spans="2:27" x14ac:dyDescent="0.25">
      <c r="B73" s="1" t="s">
        <v>578</v>
      </c>
      <c r="C73" s="1" t="s">
        <v>575</v>
      </c>
      <c r="D73" s="1" t="s">
        <v>4</v>
      </c>
      <c r="E73" s="1" t="s">
        <v>576</v>
      </c>
      <c r="G73" s="10">
        <v>4.7699999999999996</v>
      </c>
      <c r="H73" s="13" t="s">
        <v>1617</v>
      </c>
      <c r="I73" s="13" t="s">
        <v>1618</v>
      </c>
      <c r="M73" t="s">
        <v>1669</v>
      </c>
      <c r="AA73" t="str">
        <f t="shared" ref="AA73:AA136" si="3">C73&amp;" "&amp;E73</f>
        <v>Amitriptyline Tablet 75 mg</v>
      </c>
    </row>
    <row r="74" spans="2:27" x14ac:dyDescent="0.25">
      <c r="B74" s="1" t="s">
        <v>580</v>
      </c>
      <c r="C74" s="1" t="s">
        <v>581</v>
      </c>
      <c r="D74" s="1" t="s">
        <v>4</v>
      </c>
      <c r="E74" s="1" t="s">
        <v>582</v>
      </c>
      <c r="F74" s="5"/>
      <c r="G74" s="10">
        <v>1.59</v>
      </c>
      <c r="H74" s="13" t="s">
        <v>1617</v>
      </c>
      <c r="I74" s="13" t="s">
        <v>1618</v>
      </c>
      <c r="M74" t="s">
        <v>1667</v>
      </c>
      <c r="AA74" t="str">
        <f t="shared" si="3"/>
        <v>Amlodipine Tablet 2.5 mg</v>
      </c>
    </row>
    <row r="75" spans="2:27" x14ac:dyDescent="0.25">
      <c r="B75" s="1" t="s">
        <v>580</v>
      </c>
      <c r="C75" s="1" t="s">
        <v>581</v>
      </c>
      <c r="D75" s="1" t="s">
        <v>4</v>
      </c>
      <c r="E75" s="1" t="s">
        <v>381</v>
      </c>
      <c r="F75" s="5"/>
      <c r="G75" s="10">
        <v>2.23</v>
      </c>
      <c r="H75" s="13" t="s">
        <v>1617</v>
      </c>
      <c r="I75" s="13" t="s">
        <v>1618</v>
      </c>
      <c r="M75" t="s">
        <v>1667</v>
      </c>
      <c r="AA75" t="str">
        <f t="shared" si="3"/>
        <v>Amlodipine Tablet 5 mg</v>
      </c>
    </row>
    <row r="76" spans="2:27" x14ac:dyDescent="0.25">
      <c r="B76" s="1" t="s">
        <v>580</v>
      </c>
      <c r="C76" s="1" t="s">
        <v>581</v>
      </c>
      <c r="D76" s="1" t="s">
        <v>4</v>
      </c>
      <c r="E76" s="1" t="s">
        <v>220</v>
      </c>
      <c r="F76" s="5"/>
      <c r="G76" s="10">
        <v>4.8099999999999996</v>
      </c>
      <c r="H76" s="13" t="s">
        <v>1617</v>
      </c>
      <c r="I76" s="13" t="s">
        <v>1618</v>
      </c>
      <c r="M76" t="s">
        <v>1667</v>
      </c>
      <c r="AA76" t="str">
        <f t="shared" si="3"/>
        <v>Amlodipine Tablet 10 mg</v>
      </c>
    </row>
    <row r="77" spans="2:27" x14ac:dyDescent="0.25">
      <c r="B77" s="1" t="s">
        <v>11</v>
      </c>
      <c r="C77" s="1" t="s">
        <v>12</v>
      </c>
      <c r="D77" s="1" t="s">
        <v>4</v>
      </c>
      <c r="E77" s="1" t="s">
        <v>120</v>
      </c>
      <c r="G77" s="14">
        <v>2.1800000000000002</v>
      </c>
      <c r="H77" s="1" t="s">
        <v>1622</v>
      </c>
      <c r="M77" t="s">
        <v>735</v>
      </c>
      <c r="N77" t="s">
        <v>1651</v>
      </c>
      <c r="O77" t="s">
        <v>1653</v>
      </c>
      <c r="AA77" t="str">
        <f t="shared" si="3"/>
        <v>Amoxicillin Capsule 250 mg</v>
      </c>
    </row>
    <row r="78" spans="2:27" x14ac:dyDescent="0.25">
      <c r="B78" s="1" t="s">
        <v>11</v>
      </c>
      <c r="C78" s="1" t="s">
        <v>12</v>
      </c>
      <c r="D78" s="1" t="s">
        <v>4</v>
      </c>
      <c r="E78" s="1" t="s">
        <v>293</v>
      </c>
      <c r="G78" s="14">
        <v>6.56</v>
      </c>
      <c r="H78" s="14" t="s">
        <v>1626</v>
      </c>
      <c r="M78" t="s">
        <v>735</v>
      </c>
      <c r="N78" t="s">
        <v>1651</v>
      </c>
      <c r="O78" t="s">
        <v>1653</v>
      </c>
      <c r="AA78" t="str">
        <f t="shared" si="3"/>
        <v>Amoxicillin Capsule 500 mg</v>
      </c>
    </row>
    <row r="79" spans="2:27" x14ac:dyDescent="0.25">
      <c r="B79" s="1" t="s">
        <v>11</v>
      </c>
      <c r="C79" s="1" t="s">
        <v>12</v>
      </c>
      <c r="D79" s="1" t="s">
        <v>4</v>
      </c>
      <c r="E79" s="1" t="s">
        <v>15</v>
      </c>
      <c r="M79" t="s">
        <v>735</v>
      </c>
      <c r="N79" t="s">
        <v>1651</v>
      </c>
      <c r="O79" t="s">
        <v>1653</v>
      </c>
      <c r="AA79" t="str">
        <f t="shared" si="3"/>
        <v xml:space="preserve">Amoxicillin Oral liquid 125 mg/5 mL (p) </v>
      </c>
    </row>
    <row r="80" spans="2:27" x14ac:dyDescent="0.25">
      <c r="B80" s="1"/>
      <c r="C80" s="1"/>
      <c r="D80" s="1"/>
      <c r="E80" s="1"/>
      <c r="J80" t="s">
        <v>530</v>
      </c>
      <c r="K80" t="str">
        <f t="shared" ref="K80:K122" si="4">C80&amp;" "&amp;E80</f>
        <v xml:space="preserve"> </v>
      </c>
      <c r="L80">
        <f t="shared" ref="L80:L122" si="5">B80</f>
        <v>0</v>
      </c>
      <c r="AA80" t="str">
        <f t="shared" si="3"/>
        <v xml:space="preserve"> </v>
      </c>
    </row>
    <row r="81" spans="2:27" x14ac:dyDescent="0.25">
      <c r="B81" s="2" t="s">
        <v>583</v>
      </c>
      <c r="C81" s="1"/>
      <c r="D81" s="1"/>
      <c r="E81" s="1"/>
      <c r="J81" t="s">
        <v>530</v>
      </c>
      <c r="K81" t="str">
        <f t="shared" si="4"/>
        <v xml:space="preserve"> </v>
      </c>
      <c r="L81" t="str">
        <f t="shared" si="5"/>
        <v>2.3-Medicines used to treat Gout</v>
      </c>
      <c r="AA81" t="str">
        <f t="shared" si="3"/>
        <v xml:space="preserve"> </v>
      </c>
    </row>
    <row r="82" spans="2:27" x14ac:dyDescent="0.25">
      <c r="B82" s="1" t="s">
        <v>11</v>
      </c>
      <c r="C82" s="1" t="s">
        <v>12</v>
      </c>
      <c r="D82" s="1" t="s">
        <v>4</v>
      </c>
      <c r="E82" s="1" t="s">
        <v>584</v>
      </c>
      <c r="M82" t="s">
        <v>735</v>
      </c>
      <c r="N82" t="s">
        <v>1651</v>
      </c>
      <c r="O82" t="s">
        <v>1653</v>
      </c>
      <c r="AA82" t="str">
        <f t="shared" si="3"/>
        <v xml:space="preserve">Amoxicillin Oral liquid 250 mg/5 mL (p) </v>
      </c>
    </row>
    <row r="83" spans="2:27" x14ac:dyDescent="0.25">
      <c r="B83" s="1" t="s">
        <v>11</v>
      </c>
      <c r="C83" s="1" t="s">
        <v>12</v>
      </c>
      <c r="D83" s="1" t="s">
        <v>4</v>
      </c>
      <c r="E83" s="1" t="s">
        <v>16</v>
      </c>
      <c r="M83" t="s">
        <v>735</v>
      </c>
      <c r="N83" t="s">
        <v>1651</v>
      </c>
      <c r="O83" t="s">
        <v>1653</v>
      </c>
      <c r="AA83" t="str">
        <f t="shared" si="3"/>
        <v>Amoxicillin Powder for Injection 250 mg</v>
      </c>
    </row>
    <row r="84" spans="2:27" x14ac:dyDescent="0.25">
      <c r="B84" s="1" t="s">
        <v>11</v>
      </c>
      <c r="C84" s="1" t="s">
        <v>12</v>
      </c>
      <c r="D84" s="1" t="s">
        <v>4</v>
      </c>
      <c r="E84" s="1" t="s">
        <v>13</v>
      </c>
      <c r="M84" t="s">
        <v>735</v>
      </c>
      <c r="N84" t="s">
        <v>1651</v>
      </c>
      <c r="O84" t="s">
        <v>1653</v>
      </c>
      <c r="AA84" t="str">
        <f t="shared" si="3"/>
        <v xml:space="preserve">Amoxicillin Powder for Injection 500 mg </v>
      </c>
    </row>
    <row r="85" spans="2:27" x14ac:dyDescent="0.25">
      <c r="B85" s="1"/>
      <c r="C85" s="1"/>
      <c r="D85" s="1"/>
      <c r="E85" s="1"/>
      <c r="J85" t="s">
        <v>530</v>
      </c>
      <c r="K85" t="str">
        <f t="shared" si="4"/>
        <v xml:space="preserve"> </v>
      </c>
      <c r="L85">
        <f t="shared" si="5"/>
        <v>0</v>
      </c>
      <c r="AA85" t="str">
        <f t="shared" si="3"/>
        <v xml:space="preserve"> </v>
      </c>
    </row>
    <row r="86" spans="2:27" x14ac:dyDescent="0.25">
      <c r="B86" s="2" t="s">
        <v>585</v>
      </c>
      <c r="C86" s="1"/>
      <c r="D86" s="1"/>
      <c r="E86" s="1"/>
      <c r="J86" t="s">
        <v>530</v>
      </c>
      <c r="K86" t="str">
        <f t="shared" si="4"/>
        <v xml:space="preserve"> </v>
      </c>
      <c r="L86" t="str">
        <f t="shared" si="5"/>
        <v>2.4-Disease Modifying Agents used in Rheumatoid Disorders</v>
      </c>
      <c r="AA86" t="str">
        <f t="shared" si="3"/>
        <v xml:space="preserve"> </v>
      </c>
    </row>
    <row r="87" spans="2:27" x14ac:dyDescent="0.25">
      <c r="B87" s="1" t="s">
        <v>11</v>
      </c>
      <c r="C87" s="1" t="s">
        <v>12</v>
      </c>
      <c r="D87" s="1" t="s">
        <v>4</v>
      </c>
      <c r="E87" s="1" t="s">
        <v>14</v>
      </c>
      <c r="M87" t="s">
        <v>735</v>
      </c>
      <c r="N87" t="s">
        <v>1651</v>
      </c>
      <c r="O87" t="s">
        <v>1653</v>
      </c>
      <c r="AA87" t="str">
        <f t="shared" si="3"/>
        <v>Amoxicillin Powder for injection 1000 mg</v>
      </c>
    </row>
    <row r="88" spans="2:27" x14ac:dyDescent="0.25">
      <c r="B88" s="1" t="s">
        <v>586</v>
      </c>
      <c r="C88" s="1" t="s">
        <v>587</v>
      </c>
      <c r="D88" s="1" t="s">
        <v>4</v>
      </c>
      <c r="E88" s="1" t="s">
        <v>588</v>
      </c>
      <c r="G88" s="14">
        <v>16.32</v>
      </c>
      <c r="H88" s="14" t="s">
        <v>1624</v>
      </c>
      <c r="M88" t="s">
        <v>735</v>
      </c>
      <c r="N88" t="s">
        <v>1651</v>
      </c>
      <c r="O88" t="s">
        <v>1653</v>
      </c>
      <c r="AA88" t="str">
        <f t="shared" si="3"/>
        <v>Amoxicillin (A) + Clavulanic acid (B) Tablet 500 mg (A) + 125 mg (B)</v>
      </c>
    </row>
    <row r="89" spans="2:27" x14ac:dyDescent="0.25">
      <c r="B89" s="1" t="s">
        <v>586</v>
      </c>
      <c r="C89" s="1" t="s">
        <v>587</v>
      </c>
      <c r="D89" s="1" t="s">
        <v>4</v>
      </c>
      <c r="E89" s="1" t="s">
        <v>589</v>
      </c>
      <c r="G89" s="14">
        <v>1.8</v>
      </c>
      <c r="H89" s="14" t="s">
        <v>1626</v>
      </c>
      <c r="M89" t="s">
        <v>735</v>
      </c>
      <c r="N89" t="s">
        <v>1651</v>
      </c>
      <c r="O89" t="s">
        <v>1653</v>
      </c>
      <c r="AA89" t="str">
        <f t="shared" si="3"/>
        <v>Amoxicillin (A) + Clavulanic acid (B) Oral liquid 200 mg (A) + 28.5 mg (B)/5 mL (p)</v>
      </c>
    </row>
    <row r="90" spans="2:27" x14ac:dyDescent="0.25">
      <c r="B90" s="1" t="s">
        <v>586</v>
      </c>
      <c r="C90" s="1" t="s">
        <v>587</v>
      </c>
      <c r="D90" s="1" t="s">
        <v>4</v>
      </c>
      <c r="E90" s="1" t="s">
        <v>590</v>
      </c>
      <c r="G90" s="14">
        <v>1.83</v>
      </c>
      <c r="H90" s="1" t="s">
        <v>1622</v>
      </c>
      <c r="M90" t="s">
        <v>735</v>
      </c>
      <c r="N90" t="s">
        <v>1651</v>
      </c>
      <c r="O90" t="s">
        <v>1653</v>
      </c>
      <c r="AA90" t="str">
        <f t="shared" si="3"/>
        <v>Amoxicillin (A) + Clavulanic acid (B) Dry Syrup 125 mg (A) + 31.25
(B)/  5 mL (p)</v>
      </c>
    </row>
    <row r="91" spans="2:27" x14ac:dyDescent="0.25">
      <c r="B91" s="1" t="s">
        <v>586</v>
      </c>
      <c r="C91" s="1" t="s">
        <v>587</v>
      </c>
      <c r="D91" s="1" t="s">
        <v>19</v>
      </c>
      <c r="E91" s="1" t="s">
        <v>591</v>
      </c>
      <c r="G91" s="14">
        <v>90.38</v>
      </c>
      <c r="H91" s="1" t="s">
        <v>1622</v>
      </c>
      <c r="M91" t="s">
        <v>735</v>
      </c>
      <c r="N91" t="s">
        <v>1651</v>
      </c>
      <c r="O91" t="s">
        <v>1653</v>
      </c>
      <c r="AA91" t="str">
        <f t="shared" si="3"/>
        <v>Amoxicillin (A) + Clavulanic acid (B) Powder for Injection 500 mg (A) + 100 mg (B)</v>
      </c>
    </row>
    <row r="92" spans="2:27" x14ac:dyDescent="0.25">
      <c r="B92" s="1" t="s">
        <v>586</v>
      </c>
      <c r="C92" s="1" t="s">
        <v>587</v>
      </c>
      <c r="D92" s="1" t="s">
        <v>19</v>
      </c>
      <c r="E92" s="1" t="s">
        <v>592</v>
      </c>
      <c r="G92" s="14">
        <v>125.44</v>
      </c>
      <c r="H92" s="14" t="s">
        <v>1624</v>
      </c>
      <c r="M92" t="s">
        <v>735</v>
      </c>
      <c r="N92" t="s">
        <v>1651</v>
      </c>
      <c r="O92" t="s">
        <v>1653</v>
      </c>
      <c r="AA92" t="str">
        <f t="shared" si="3"/>
        <v>Amoxicillin (A) + Clavulanic acid (B) Powder for Injection 1 g (A) + 200 mg (B)</v>
      </c>
    </row>
    <row r="93" spans="2:27" x14ac:dyDescent="0.25">
      <c r="B93" s="1" t="s">
        <v>593</v>
      </c>
      <c r="C93" s="1" t="s">
        <v>594</v>
      </c>
      <c r="D93" s="1" t="s">
        <v>19</v>
      </c>
      <c r="E93" s="1" t="s">
        <v>595</v>
      </c>
      <c r="M93" t="s">
        <v>735</v>
      </c>
      <c r="N93" t="s">
        <v>1656</v>
      </c>
      <c r="AA93" t="str">
        <f t="shared" si="3"/>
        <v>Amphotericin B a) Amphotericin B (conventional) - Injection 50 mg/vial</v>
      </c>
    </row>
    <row r="94" spans="2:27" x14ac:dyDescent="0.25">
      <c r="B94" s="1" t="s">
        <v>593</v>
      </c>
      <c r="C94" s="1" t="s">
        <v>594</v>
      </c>
      <c r="D94" s="1" t="s">
        <v>19</v>
      </c>
      <c r="E94" s="1" t="s">
        <v>596</v>
      </c>
      <c r="M94" t="s">
        <v>735</v>
      </c>
      <c r="N94" t="s">
        <v>1656</v>
      </c>
      <c r="AA94" t="str">
        <f t="shared" si="3"/>
        <v>Amphotericin B b) Lipid Amphotericin B - Injection 50 mg/vial</v>
      </c>
    </row>
    <row r="95" spans="2:27" x14ac:dyDescent="0.25">
      <c r="B95" s="1"/>
      <c r="C95" s="1"/>
      <c r="D95" s="1"/>
      <c r="E95" s="1"/>
      <c r="J95" t="s">
        <v>530</v>
      </c>
      <c r="K95" t="str">
        <f t="shared" si="4"/>
        <v xml:space="preserve"> </v>
      </c>
      <c r="L95">
        <f t="shared" si="5"/>
        <v>0</v>
      </c>
      <c r="AA95" t="str">
        <f t="shared" si="3"/>
        <v xml:space="preserve"> </v>
      </c>
    </row>
    <row r="96" spans="2:27" x14ac:dyDescent="0.25">
      <c r="B96" s="2" t="s">
        <v>597</v>
      </c>
      <c r="C96" s="1"/>
      <c r="D96" s="1"/>
      <c r="E96" s="1"/>
      <c r="J96" t="s">
        <v>530</v>
      </c>
      <c r="K96" t="str">
        <f t="shared" si="4"/>
        <v xml:space="preserve"> </v>
      </c>
      <c r="L96" t="str">
        <f t="shared" si="5"/>
        <v>Section 3</v>
      </c>
      <c r="AA96" t="str">
        <f t="shared" si="3"/>
        <v xml:space="preserve"> </v>
      </c>
    </row>
    <row r="97" spans="2:27" x14ac:dyDescent="0.25">
      <c r="B97" s="2" t="s">
        <v>598</v>
      </c>
      <c r="C97" s="1"/>
      <c r="D97" s="1"/>
      <c r="E97" s="1"/>
      <c r="J97" t="s">
        <v>530</v>
      </c>
      <c r="K97" t="str">
        <f t="shared" si="4"/>
        <v xml:space="preserve"> </v>
      </c>
      <c r="L97" t="str">
        <f t="shared" si="5"/>
        <v>Antiallergics and Medicines used in Anaphylaxis</v>
      </c>
      <c r="AA97" t="str">
        <f t="shared" si="3"/>
        <v xml:space="preserve"> </v>
      </c>
    </row>
    <row r="98" spans="2:27" x14ac:dyDescent="0.25">
      <c r="B98" s="1" t="s">
        <v>593</v>
      </c>
      <c r="C98" s="1" t="s">
        <v>594</v>
      </c>
      <c r="D98" s="1" t="s">
        <v>19</v>
      </c>
      <c r="E98" s="1" t="s">
        <v>599</v>
      </c>
      <c r="M98" t="s">
        <v>735</v>
      </c>
      <c r="N98" t="s">
        <v>1656</v>
      </c>
      <c r="AA98" t="str">
        <f t="shared" si="3"/>
        <v>Amphotericin B c) Liposomal Amphotericin B - Injection 50 mg/vial</v>
      </c>
    </row>
    <row r="99" spans="2:27" x14ac:dyDescent="0.25">
      <c r="B99" s="1" t="s">
        <v>600</v>
      </c>
      <c r="C99" s="1" t="s">
        <v>594</v>
      </c>
      <c r="D99" s="1" t="s">
        <v>19</v>
      </c>
      <c r="E99" s="1" t="s">
        <v>601</v>
      </c>
      <c r="M99" t="s">
        <v>735</v>
      </c>
      <c r="AA99" t="str">
        <f t="shared" si="3"/>
        <v>Amphotericin B a) Amphotericin B (conventional)- Injection 50 mg</v>
      </c>
    </row>
    <row r="100" spans="2:27" x14ac:dyDescent="0.25">
      <c r="B100" s="1" t="s">
        <v>600</v>
      </c>
      <c r="C100" s="1" t="s">
        <v>594</v>
      </c>
      <c r="D100" s="1" t="s">
        <v>19</v>
      </c>
      <c r="E100" s="1" t="s">
        <v>602</v>
      </c>
      <c r="M100" t="s">
        <v>735</v>
      </c>
      <c r="AA100" t="str">
        <f t="shared" si="3"/>
        <v>Amphotericin B b) Lipid Amphotericin B- Injection 50 mg</v>
      </c>
    </row>
    <row r="101" spans="2:27" x14ac:dyDescent="0.25">
      <c r="B101" s="1" t="s">
        <v>600</v>
      </c>
      <c r="C101" s="1" t="s">
        <v>594</v>
      </c>
      <c r="D101" s="1" t="s">
        <v>19</v>
      </c>
      <c r="E101" s="1" t="s">
        <v>603</v>
      </c>
      <c r="M101" t="s">
        <v>735</v>
      </c>
      <c r="AA101" t="str">
        <f t="shared" si="3"/>
        <v>Amphotericin B c) Liposomal Amphotericin B- Injection 50 mg</v>
      </c>
    </row>
    <row r="102" spans="2:27" x14ac:dyDescent="0.25">
      <c r="B102" s="1" t="s">
        <v>604</v>
      </c>
      <c r="C102" s="1" t="s">
        <v>605</v>
      </c>
      <c r="D102" s="1" t="s">
        <v>4</v>
      </c>
      <c r="E102" s="1" t="s">
        <v>606</v>
      </c>
      <c r="M102" t="s">
        <v>735</v>
      </c>
      <c r="N102" t="s">
        <v>1651</v>
      </c>
      <c r="O102" t="s">
        <v>1653</v>
      </c>
      <c r="AA102" t="str">
        <f t="shared" si="3"/>
        <v>Ampicillin Powder for Injection 1000 mg</v>
      </c>
    </row>
    <row r="103" spans="2:27" x14ac:dyDescent="0.25">
      <c r="B103" s="1" t="s">
        <v>604</v>
      </c>
      <c r="C103" s="1" t="s">
        <v>605</v>
      </c>
      <c r="D103" s="1" t="s">
        <v>4</v>
      </c>
      <c r="E103" s="1" t="s">
        <v>205</v>
      </c>
      <c r="G103" s="14">
        <v>12.71</v>
      </c>
      <c r="H103" s="14" t="s">
        <v>1624</v>
      </c>
      <c r="M103" t="s">
        <v>735</v>
      </c>
      <c r="N103" t="s">
        <v>1651</v>
      </c>
      <c r="O103" t="s">
        <v>1653</v>
      </c>
      <c r="AA103" t="str">
        <f t="shared" si="3"/>
        <v>Ampicillin Powder for Injection 500 mg</v>
      </c>
    </row>
    <row r="104" spans="2:27" x14ac:dyDescent="0.25">
      <c r="B104" s="1" t="s">
        <v>607</v>
      </c>
      <c r="C104" s="1" t="s">
        <v>608</v>
      </c>
      <c r="D104" s="1" t="s">
        <v>19</v>
      </c>
      <c r="E104" s="1" t="s">
        <v>609</v>
      </c>
      <c r="AA104" t="str">
        <f t="shared" si="3"/>
        <v>Anti-D immunoglobulin As Licensed</v>
      </c>
    </row>
    <row r="105" spans="2:27" x14ac:dyDescent="0.25">
      <c r="B105" s="1" t="s">
        <v>610</v>
      </c>
      <c r="C105" s="1" t="s">
        <v>611</v>
      </c>
      <c r="D105" s="1" t="s">
        <v>4</v>
      </c>
      <c r="E105" s="1" t="s">
        <v>609</v>
      </c>
      <c r="AA105" t="str">
        <f t="shared" si="3"/>
        <v>Anti-rabies immunoglobulin As Licensed</v>
      </c>
    </row>
    <row r="106" spans="2:27" x14ac:dyDescent="0.25">
      <c r="B106" s="1" t="s">
        <v>612</v>
      </c>
      <c r="C106" s="1" t="s">
        <v>613</v>
      </c>
      <c r="D106" s="1" t="s">
        <v>4</v>
      </c>
      <c r="E106" s="1" t="s">
        <v>609</v>
      </c>
      <c r="AA106" t="str">
        <f t="shared" si="3"/>
        <v>Anti-tetanus immunoglobulin As Licensed</v>
      </c>
    </row>
    <row r="107" spans="2:27" x14ac:dyDescent="0.25">
      <c r="B107" s="1" t="s">
        <v>614</v>
      </c>
      <c r="C107" s="1" t="s">
        <v>615</v>
      </c>
      <c r="D107" s="1" t="s">
        <v>8</v>
      </c>
      <c r="E107" s="1" t="s">
        <v>616</v>
      </c>
      <c r="AA107" t="str">
        <f t="shared" si="3"/>
        <v>Arsenic trioxide Injection 1mg/ mL</v>
      </c>
    </row>
    <row r="108" spans="2:27" x14ac:dyDescent="0.25">
      <c r="B108" s="1" t="s">
        <v>617</v>
      </c>
      <c r="C108" s="1" t="s">
        <v>24</v>
      </c>
      <c r="D108" s="1" t="s">
        <v>4</v>
      </c>
      <c r="E108" s="1" t="s">
        <v>618</v>
      </c>
      <c r="G108" s="11">
        <v>11.28</v>
      </c>
      <c r="H108" s="13" t="s">
        <v>1617</v>
      </c>
      <c r="I108" s="13" t="s">
        <v>1618</v>
      </c>
      <c r="M108" t="s">
        <v>735</v>
      </c>
      <c r="AA108" t="str">
        <f t="shared" si="3"/>
        <v xml:space="preserve">Artemether (A) + Lumefantrine (B) Tablet 20 mg (A) + 120 mg (B) </v>
      </c>
    </row>
    <row r="109" spans="2:27" x14ac:dyDescent="0.25">
      <c r="B109" s="1" t="s">
        <v>617</v>
      </c>
      <c r="C109" s="1" t="s">
        <v>24</v>
      </c>
      <c r="D109" s="1" t="s">
        <v>4</v>
      </c>
      <c r="E109" s="1" t="s">
        <v>619</v>
      </c>
      <c r="G109" s="14">
        <v>16.09</v>
      </c>
      <c r="H109" s="1" t="s">
        <v>1622</v>
      </c>
      <c r="M109" t="s">
        <v>735</v>
      </c>
      <c r="AA109" t="str">
        <f t="shared" si="3"/>
        <v xml:space="preserve">Artemether (A) + Lumefantrine (B) Tablet 40 mg (A) + 240 mg (B) </v>
      </c>
    </row>
    <row r="110" spans="2:27" x14ac:dyDescent="0.25">
      <c r="B110" s="1" t="s">
        <v>617</v>
      </c>
      <c r="C110" s="1" t="s">
        <v>24</v>
      </c>
      <c r="D110" s="1" t="s">
        <v>4</v>
      </c>
      <c r="E110" s="1" t="s">
        <v>620</v>
      </c>
      <c r="G110" s="11">
        <v>22.75</v>
      </c>
      <c r="H110" s="13" t="s">
        <v>1617</v>
      </c>
      <c r="I110" s="13" t="s">
        <v>1618</v>
      </c>
      <c r="M110" t="s">
        <v>735</v>
      </c>
      <c r="AA110" t="str">
        <f t="shared" si="3"/>
        <v>Artemether (A) + Lumefantrine (B) Tablet 80 mg (A) + 480 mg (B)</v>
      </c>
    </row>
    <row r="111" spans="2:27" x14ac:dyDescent="0.25">
      <c r="B111" s="1" t="s">
        <v>621</v>
      </c>
      <c r="C111" s="1" t="s">
        <v>622</v>
      </c>
      <c r="D111" s="1" t="s">
        <v>4</v>
      </c>
      <c r="E111" s="1" t="s">
        <v>623</v>
      </c>
      <c r="G111" s="14">
        <v>405.28</v>
      </c>
      <c r="H111" s="1" t="s">
        <v>1622</v>
      </c>
      <c r="M111" t="s">
        <v>735</v>
      </c>
      <c r="AA111" t="str">
        <f t="shared" si="3"/>
        <v>Artesunate Powder for Injection 120 mg</v>
      </c>
    </row>
    <row r="112" spans="2:27" x14ac:dyDescent="0.25">
      <c r="B112" s="1" t="s">
        <v>621</v>
      </c>
      <c r="C112" s="1" t="s">
        <v>622</v>
      </c>
      <c r="D112" s="1" t="s">
        <v>4</v>
      </c>
      <c r="E112" s="1" t="s">
        <v>624</v>
      </c>
      <c r="G112" s="14">
        <v>218.26</v>
      </c>
      <c r="H112" s="1" t="s">
        <v>1622</v>
      </c>
      <c r="M112" t="s">
        <v>735</v>
      </c>
      <c r="AA112" t="str">
        <f t="shared" si="3"/>
        <v>Artesunate Powder for Injection 60 mg</v>
      </c>
    </row>
    <row r="113" spans="2:27" x14ac:dyDescent="0.25">
      <c r="B113" s="1" t="s">
        <v>625</v>
      </c>
      <c r="C113" s="1" t="s">
        <v>626</v>
      </c>
      <c r="D113" s="1" t="s">
        <v>4</v>
      </c>
      <c r="E113" s="1" t="s">
        <v>627</v>
      </c>
      <c r="M113" t="s">
        <v>735</v>
      </c>
      <c r="AA113" t="str">
        <f t="shared" si="3"/>
        <v>Artesunate (A) + Sulphadoxine - Pyrimethamine (B) Combi pack (A+B)
1 Tablet 25 mg (A) +   1 Tablet (250 mg + 12.5 mg) (B)</v>
      </c>
    </row>
    <row r="114" spans="2:27" x14ac:dyDescent="0.25">
      <c r="B114" s="1" t="s">
        <v>625</v>
      </c>
      <c r="C114" s="1" t="s">
        <v>626</v>
      </c>
      <c r="D114" s="1" t="s">
        <v>4</v>
      </c>
      <c r="E114" s="1" t="s">
        <v>628</v>
      </c>
      <c r="G114" s="14">
        <v>20.11</v>
      </c>
      <c r="H114" s="1" t="s">
        <v>1622</v>
      </c>
      <c r="M114" t="s">
        <v>735</v>
      </c>
      <c r="AA114" t="str">
        <f t="shared" si="3"/>
        <v>Artesunate (A) + Sulphadoxine - Pyrimethamine (B) Combi pack (A+B) 
1 Tablet 50 mg (A) +   1 Tablet
(500 mg + 25 mg) (B)</v>
      </c>
    </row>
    <row r="115" spans="2:27" x14ac:dyDescent="0.25">
      <c r="B115" s="1" t="s">
        <v>625</v>
      </c>
      <c r="C115" s="1" t="s">
        <v>626</v>
      </c>
      <c r="D115" s="1" t="s">
        <v>4</v>
      </c>
      <c r="E115" s="1" t="s">
        <v>629</v>
      </c>
      <c r="M115" t="s">
        <v>735</v>
      </c>
      <c r="AA115" t="str">
        <f t="shared" si="3"/>
        <v>Artesunate (A) + Sulphadoxine - Pyrimethamine (B) Combi pack (A+B) 1 Tablet 100 mg (A) + 1 Tablet
(750 mg + 37.5 mg) (B)</v>
      </c>
    </row>
    <row r="116" spans="2:27" x14ac:dyDescent="0.25">
      <c r="B116" s="1"/>
      <c r="C116" s="1"/>
      <c r="D116" s="1"/>
      <c r="E116" s="1"/>
      <c r="J116" t="s">
        <v>530</v>
      </c>
      <c r="K116" t="str">
        <f t="shared" si="4"/>
        <v xml:space="preserve"> </v>
      </c>
      <c r="L116">
        <f t="shared" si="5"/>
        <v>0</v>
      </c>
      <c r="AA116" t="str">
        <f t="shared" si="3"/>
        <v xml:space="preserve"> </v>
      </c>
    </row>
    <row r="117" spans="2:27" x14ac:dyDescent="0.25">
      <c r="B117" s="2" t="s">
        <v>630</v>
      </c>
      <c r="C117" s="1"/>
      <c r="D117" s="1"/>
      <c r="E117" s="1"/>
      <c r="J117" t="s">
        <v>530</v>
      </c>
      <c r="K117" t="str">
        <f t="shared" si="4"/>
        <v xml:space="preserve"> </v>
      </c>
      <c r="L117" t="str">
        <f t="shared" si="5"/>
        <v>Section 4</v>
      </c>
      <c r="AA117" t="str">
        <f t="shared" si="3"/>
        <v xml:space="preserve"> </v>
      </c>
    </row>
    <row r="118" spans="2:27" x14ac:dyDescent="0.25">
      <c r="B118" s="2" t="s">
        <v>631</v>
      </c>
      <c r="C118" s="1"/>
      <c r="D118" s="1"/>
      <c r="E118" s="1"/>
      <c r="J118" t="s">
        <v>530</v>
      </c>
      <c r="K118" t="str">
        <f t="shared" si="4"/>
        <v xml:space="preserve"> </v>
      </c>
      <c r="L118" t="str">
        <f t="shared" si="5"/>
        <v>Antidotes and Other Substances used in Management of Poisonings/Envenomation</v>
      </c>
      <c r="AA118" t="str">
        <f t="shared" si="3"/>
        <v xml:space="preserve"> </v>
      </c>
    </row>
    <row r="119" spans="2:27" x14ac:dyDescent="0.25">
      <c r="B119" s="2" t="s">
        <v>632</v>
      </c>
      <c r="C119" s="1"/>
      <c r="D119" s="1"/>
      <c r="E119" s="1"/>
      <c r="J119" t="s">
        <v>530</v>
      </c>
      <c r="K119" t="str">
        <f t="shared" si="4"/>
        <v xml:space="preserve"> </v>
      </c>
      <c r="L119" t="str">
        <f t="shared" si="5"/>
        <v>4.1-Nonspecific</v>
      </c>
      <c r="AA119" t="str">
        <f t="shared" si="3"/>
        <v xml:space="preserve"> </v>
      </c>
    </row>
    <row r="120" spans="2:27" x14ac:dyDescent="0.25">
      <c r="B120" s="1" t="s">
        <v>625</v>
      </c>
      <c r="C120" s="1" t="s">
        <v>626</v>
      </c>
      <c r="D120" s="1" t="s">
        <v>4</v>
      </c>
      <c r="E120" s="1" t="s">
        <v>633</v>
      </c>
      <c r="M120" t="s">
        <v>735</v>
      </c>
      <c r="AA120" t="str">
        <f t="shared" si="3"/>
        <v>Artesunate (A) + Sulphadoxine - Pyrimethamine (B) Combi pack (A+B) 1 Tablet 150 mg (A) + 2 Tablet
(500 mg + 25 mg) (B)</v>
      </c>
    </row>
    <row r="121" spans="2:27" x14ac:dyDescent="0.25">
      <c r="B121" s="1"/>
      <c r="C121" s="1"/>
      <c r="D121" s="1"/>
      <c r="E121" s="1"/>
      <c r="J121" t="s">
        <v>530</v>
      </c>
      <c r="K121" t="str">
        <f t="shared" si="4"/>
        <v xml:space="preserve"> </v>
      </c>
      <c r="L121">
        <f t="shared" si="5"/>
        <v>0</v>
      </c>
      <c r="AA121" t="str">
        <f t="shared" si="3"/>
        <v xml:space="preserve"> </v>
      </c>
    </row>
    <row r="122" spans="2:27" x14ac:dyDescent="0.25">
      <c r="B122" s="2" t="s">
        <v>634</v>
      </c>
      <c r="C122" s="1"/>
      <c r="D122" s="1"/>
      <c r="E122" s="1"/>
      <c r="J122" t="s">
        <v>530</v>
      </c>
      <c r="K122" t="str">
        <f t="shared" si="4"/>
        <v xml:space="preserve"> </v>
      </c>
      <c r="L122" t="str">
        <f t="shared" si="5"/>
        <v>4.2 Specific</v>
      </c>
      <c r="AA122" t="str">
        <f t="shared" si="3"/>
        <v xml:space="preserve"> </v>
      </c>
    </row>
    <row r="123" spans="2:27" x14ac:dyDescent="0.25">
      <c r="B123" s="1" t="s">
        <v>625</v>
      </c>
      <c r="C123" s="1" t="s">
        <v>626</v>
      </c>
      <c r="D123" s="1" t="s">
        <v>4</v>
      </c>
      <c r="E123" s="1" t="s">
        <v>635</v>
      </c>
      <c r="M123" t="s">
        <v>735</v>
      </c>
      <c r="AA123" t="str">
        <f t="shared" si="3"/>
        <v>Artesunate (A) + Sulphadoxine - Pyrimethamine (B) 
Combi pack (A+B)  1 Tablet 200 mg (A) + 2 Tablet
(750 mg + 37.5 mg) (B)</v>
      </c>
    </row>
    <row r="124" spans="2:27" x14ac:dyDescent="0.25">
      <c r="B124" s="1">
        <v>26.1</v>
      </c>
      <c r="C124" s="1" t="s">
        <v>636</v>
      </c>
      <c r="D124" s="1" t="s">
        <v>4</v>
      </c>
      <c r="E124" s="1" t="s">
        <v>85</v>
      </c>
      <c r="AA124" t="str">
        <f t="shared" si="3"/>
        <v>Ascorbic acid (Vitamin C) Tablet 500 mg</v>
      </c>
    </row>
    <row r="125" spans="2:27" x14ac:dyDescent="0.25">
      <c r="B125" s="1">
        <v>26.1</v>
      </c>
      <c r="C125" s="1" t="s">
        <v>636</v>
      </c>
      <c r="D125" s="1" t="s">
        <v>4</v>
      </c>
      <c r="E125" s="1" t="s">
        <v>29</v>
      </c>
      <c r="AA125" t="str">
        <f t="shared" si="3"/>
        <v>Ascorbic acid (Vitamin C) Tablet 100 mg</v>
      </c>
    </row>
    <row r="126" spans="2:27" x14ac:dyDescent="0.25">
      <c r="B126" s="1" t="s">
        <v>637</v>
      </c>
      <c r="C126" s="1" t="s">
        <v>638</v>
      </c>
      <c r="D126" s="1" t="s">
        <v>19</v>
      </c>
      <c r="E126" s="1" t="s">
        <v>639</v>
      </c>
      <c r="G126" s="14">
        <v>89.03</v>
      </c>
      <c r="H126" s="14" t="s">
        <v>1624</v>
      </c>
      <c r="M126" t="s">
        <v>735</v>
      </c>
      <c r="N126" t="s">
        <v>1658</v>
      </c>
      <c r="O126" t="s">
        <v>1662</v>
      </c>
      <c r="AA126" t="str">
        <f t="shared" si="3"/>
        <v>Atazanavir (A) + Ritonavir (B) Tablet 300 mg (A) + Tablet 100 mg (B)</v>
      </c>
    </row>
    <row r="127" spans="2:27" x14ac:dyDescent="0.25">
      <c r="B127" s="1" t="s">
        <v>30</v>
      </c>
      <c r="C127" s="1" t="s">
        <v>31</v>
      </c>
      <c r="D127" s="1" t="s">
        <v>4</v>
      </c>
      <c r="E127" s="1" t="s">
        <v>220</v>
      </c>
      <c r="G127" s="10">
        <v>4.38</v>
      </c>
      <c r="H127" s="13" t="s">
        <v>1617</v>
      </c>
      <c r="I127" s="13" t="s">
        <v>1618</v>
      </c>
      <c r="M127" t="s">
        <v>1667</v>
      </c>
      <c r="AA127" t="str">
        <f t="shared" si="3"/>
        <v>Atorvastatin Tablet 10 mg</v>
      </c>
    </row>
    <row r="128" spans="2:27" x14ac:dyDescent="0.25">
      <c r="B128" s="1" t="s">
        <v>30</v>
      </c>
      <c r="C128" s="1" t="s">
        <v>31</v>
      </c>
      <c r="D128" s="1" t="s">
        <v>4</v>
      </c>
      <c r="E128" s="1" t="s">
        <v>76</v>
      </c>
      <c r="G128" s="10">
        <v>11.01</v>
      </c>
      <c r="H128" s="13" t="s">
        <v>1617</v>
      </c>
      <c r="I128" s="13" t="s">
        <v>1618</v>
      </c>
      <c r="M128" t="s">
        <v>1667</v>
      </c>
      <c r="AA128" t="str">
        <f t="shared" si="3"/>
        <v>Atorvastatin Tablet 20 mg</v>
      </c>
    </row>
    <row r="129" spans="2:27" x14ac:dyDescent="0.25">
      <c r="B129" s="1" t="s">
        <v>30</v>
      </c>
      <c r="C129" s="1" t="s">
        <v>31</v>
      </c>
      <c r="D129" s="1" t="s">
        <v>4</v>
      </c>
      <c r="E129" s="1" t="s">
        <v>640</v>
      </c>
      <c r="G129" s="10">
        <v>16.920000000000002</v>
      </c>
      <c r="H129" s="13" t="s">
        <v>1617</v>
      </c>
      <c r="I129" s="13" t="s">
        <v>1618</v>
      </c>
      <c r="M129" t="s">
        <v>1667</v>
      </c>
      <c r="AA129" t="str">
        <f t="shared" si="3"/>
        <v>Atorvastatin Tablet 40 mg</v>
      </c>
    </row>
    <row r="130" spans="2:27" x14ac:dyDescent="0.25">
      <c r="B130" s="1" t="s">
        <v>30</v>
      </c>
      <c r="C130" s="1" t="s">
        <v>31</v>
      </c>
      <c r="D130" s="1" t="s">
        <v>4</v>
      </c>
      <c r="E130" s="1" t="s">
        <v>32</v>
      </c>
      <c r="G130" s="1">
        <v>36.19</v>
      </c>
      <c r="H130" s="13" t="s">
        <v>1616</v>
      </c>
      <c r="I130" s="13" t="s">
        <v>1618</v>
      </c>
      <c r="M130" t="s">
        <v>1667</v>
      </c>
      <c r="AA130" t="str">
        <f t="shared" si="3"/>
        <v>Atorvastatin Tablet 80 mg</v>
      </c>
    </row>
    <row r="131" spans="2:27" x14ac:dyDescent="0.25">
      <c r="B131" s="1" t="s">
        <v>641</v>
      </c>
      <c r="C131" s="1" t="s">
        <v>642</v>
      </c>
      <c r="D131" s="1" t="s">
        <v>19</v>
      </c>
      <c r="E131" s="1" t="s">
        <v>643</v>
      </c>
      <c r="M131" t="s">
        <v>1630</v>
      </c>
      <c r="N131" t="s">
        <v>1634</v>
      </c>
      <c r="AA131" t="str">
        <f t="shared" si="3"/>
        <v>Atracurium Injection 10 mg/mL</v>
      </c>
    </row>
    <row r="132" spans="2:27" x14ac:dyDescent="0.25">
      <c r="B132" s="1" t="s">
        <v>644</v>
      </c>
      <c r="C132" s="1" t="s">
        <v>466</v>
      </c>
      <c r="D132" s="1" t="s">
        <v>4</v>
      </c>
      <c r="E132" s="1" t="s">
        <v>645</v>
      </c>
      <c r="M132" t="s">
        <v>1630</v>
      </c>
      <c r="N132" t="s">
        <v>1633</v>
      </c>
      <c r="AA132" t="str">
        <f t="shared" si="3"/>
        <v>Atropine Injection 0.6 mg/mL</v>
      </c>
    </row>
    <row r="133" spans="2:27" x14ac:dyDescent="0.25">
      <c r="B133" s="1" t="s">
        <v>646</v>
      </c>
      <c r="C133" s="1" t="s">
        <v>466</v>
      </c>
      <c r="D133" s="1" t="s">
        <v>4</v>
      </c>
      <c r="E133" s="1" t="s">
        <v>645</v>
      </c>
      <c r="M133" t="s">
        <v>631</v>
      </c>
      <c r="N133" t="s">
        <v>1641</v>
      </c>
      <c r="AA133" t="str">
        <f t="shared" si="3"/>
        <v>Atropine Injection 0.6 mg/mL</v>
      </c>
    </row>
    <row r="134" spans="2:27" x14ac:dyDescent="0.25">
      <c r="B134" s="1" t="s">
        <v>647</v>
      </c>
      <c r="C134" s="1" t="s">
        <v>466</v>
      </c>
      <c r="D134" s="1" t="s">
        <v>4</v>
      </c>
      <c r="E134" s="1" t="s">
        <v>648</v>
      </c>
      <c r="M134" t="s">
        <v>1670</v>
      </c>
      <c r="AA134" t="str">
        <f t="shared" si="3"/>
        <v>Atropine Ointment 1%</v>
      </c>
    </row>
    <row r="135" spans="2:27" x14ac:dyDescent="0.25">
      <c r="B135" s="1" t="s">
        <v>647</v>
      </c>
      <c r="C135" s="1" t="s">
        <v>466</v>
      </c>
      <c r="D135" s="1" t="s">
        <v>4</v>
      </c>
      <c r="E135" s="1" t="s">
        <v>649</v>
      </c>
      <c r="M135" t="s">
        <v>1670</v>
      </c>
      <c r="AA135" t="str">
        <f t="shared" si="3"/>
        <v>Atropine Drops 1%</v>
      </c>
    </row>
    <row r="136" spans="2:27" x14ac:dyDescent="0.25">
      <c r="B136" s="1" t="s">
        <v>33</v>
      </c>
      <c r="C136" s="1" t="s">
        <v>34</v>
      </c>
      <c r="D136" s="1" t="s">
        <v>19</v>
      </c>
      <c r="E136" s="1" t="s">
        <v>28</v>
      </c>
      <c r="G136" s="14">
        <v>10.039999999999999</v>
      </c>
      <c r="H136" s="14" t="s">
        <v>1624</v>
      </c>
      <c r="M136" t="s">
        <v>1635</v>
      </c>
      <c r="N136" t="s">
        <v>1639</v>
      </c>
      <c r="AA136" t="str">
        <f t="shared" si="3"/>
        <v>Azathioprine Tablet 50 mg</v>
      </c>
    </row>
    <row r="137" spans="2:27" x14ac:dyDescent="0.25">
      <c r="B137" s="1" t="s">
        <v>33</v>
      </c>
      <c r="C137" s="1" t="s">
        <v>34</v>
      </c>
      <c r="D137" s="1" t="s">
        <v>19</v>
      </c>
      <c r="E137" s="1" t="s">
        <v>35</v>
      </c>
      <c r="M137" t="s">
        <v>1635</v>
      </c>
      <c r="N137" t="s">
        <v>1639</v>
      </c>
      <c r="AA137" t="str">
        <f t="shared" ref="AA137:AA200" si="6">C137&amp;" "&amp;E137</f>
        <v>Azathioprine Tablet 25 mg (p)</v>
      </c>
    </row>
    <row r="138" spans="2:27" x14ac:dyDescent="0.25">
      <c r="B138" s="1"/>
      <c r="C138" s="1"/>
      <c r="D138" s="1"/>
      <c r="E138" s="1"/>
      <c r="J138" t="s">
        <v>530</v>
      </c>
      <c r="K138" t="str">
        <f t="shared" ref="K138:K190" si="7">C138&amp;" "&amp;E138</f>
        <v xml:space="preserve"> </v>
      </c>
      <c r="L138">
        <f t="shared" ref="L138:L190" si="8">B138</f>
        <v>0</v>
      </c>
      <c r="AA138" t="str">
        <f t="shared" si="6"/>
        <v xml:space="preserve"> </v>
      </c>
    </row>
    <row r="139" spans="2:27" x14ac:dyDescent="0.25">
      <c r="B139" s="2" t="s">
        <v>650</v>
      </c>
      <c r="C139" s="1"/>
      <c r="D139" s="1"/>
      <c r="E139" s="1"/>
      <c r="J139" t="s">
        <v>530</v>
      </c>
      <c r="K139" t="str">
        <f t="shared" si="7"/>
        <v xml:space="preserve"> </v>
      </c>
      <c r="L139" t="str">
        <f t="shared" si="8"/>
        <v>Section 5</v>
      </c>
      <c r="AA139" t="str">
        <f t="shared" si="6"/>
        <v xml:space="preserve"> </v>
      </c>
    </row>
    <row r="140" spans="2:27" x14ac:dyDescent="0.25">
      <c r="B140" s="2" t="s">
        <v>651</v>
      </c>
      <c r="C140" s="1"/>
      <c r="D140" s="1"/>
      <c r="E140" s="1"/>
      <c r="J140" t="s">
        <v>530</v>
      </c>
      <c r="K140" t="str">
        <f t="shared" si="7"/>
        <v xml:space="preserve"> </v>
      </c>
      <c r="L140" t="str">
        <f t="shared" si="8"/>
        <v>Medicines used in Neurological Disorders</v>
      </c>
      <c r="AA140" t="str">
        <f t="shared" si="6"/>
        <v xml:space="preserve"> </v>
      </c>
    </row>
    <row r="141" spans="2:27" x14ac:dyDescent="0.25">
      <c r="B141" s="2" t="s">
        <v>652</v>
      </c>
      <c r="C141" s="1"/>
      <c r="D141" s="1"/>
      <c r="E141" s="1"/>
      <c r="J141" t="s">
        <v>530</v>
      </c>
      <c r="K141" t="str">
        <f t="shared" si="7"/>
        <v xml:space="preserve"> </v>
      </c>
      <c r="L141" t="str">
        <f t="shared" si="8"/>
        <v>Section 5.1-Anticonvulsants/ Antiepileptics</v>
      </c>
      <c r="AA141" t="str">
        <f t="shared" si="6"/>
        <v xml:space="preserve"> </v>
      </c>
    </row>
    <row r="142" spans="2:27" x14ac:dyDescent="0.25">
      <c r="B142" s="1" t="s">
        <v>653</v>
      </c>
      <c r="C142" s="1" t="s">
        <v>34</v>
      </c>
      <c r="D142" s="1" t="s">
        <v>8</v>
      </c>
      <c r="E142" s="1" t="s">
        <v>28</v>
      </c>
      <c r="F142" s="5"/>
      <c r="AA142" t="str">
        <f t="shared" si="6"/>
        <v>Azathioprine Tablet 50 mg</v>
      </c>
    </row>
    <row r="143" spans="2:27" x14ac:dyDescent="0.25">
      <c r="B143" s="1" t="s">
        <v>654</v>
      </c>
      <c r="C143" s="1" t="s">
        <v>655</v>
      </c>
      <c r="D143" s="1" t="s">
        <v>4</v>
      </c>
      <c r="E143" s="1" t="s">
        <v>309</v>
      </c>
      <c r="F143" s="5"/>
      <c r="G143" s="14">
        <v>10.39</v>
      </c>
      <c r="H143" s="14" t="s">
        <v>1626</v>
      </c>
      <c r="M143" t="s">
        <v>735</v>
      </c>
      <c r="N143" t="s">
        <v>1651</v>
      </c>
      <c r="O143" t="s">
        <v>1653</v>
      </c>
      <c r="AA143" t="str">
        <f t="shared" si="6"/>
        <v>Azithromycin Tablet 250 mg</v>
      </c>
    </row>
    <row r="144" spans="2:27" x14ac:dyDescent="0.25">
      <c r="B144" s="1" t="s">
        <v>654</v>
      </c>
      <c r="C144" s="1" t="s">
        <v>655</v>
      </c>
      <c r="D144" s="1" t="s">
        <v>4</v>
      </c>
      <c r="E144" s="1" t="s">
        <v>85</v>
      </c>
      <c r="F144" s="5"/>
      <c r="G144" s="14">
        <v>182.58</v>
      </c>
      <c r="H144" s="1" t="s">
        <v>1622</v>
      </c>
      <c r="I144" s="14">
        <v>21.02</v>
      </c>
      <c r="J144" s="14" t="s">
        <v>1626</v>
      </c>
      <c r="M144" t="s">
        <v>735</v>
      </c>
      <c r="N144" t="s">
        <v>1651</v>
      </c>
      <c r="O144" t="s">
        <v>1653</v>
      </c>
      <c r="AA144" t="str">
        <f t="shared" si="6"/>
        <v>Azithromycin Tablet 500 mg</v>
      </c>
    </row>
    <row r="145" spans="2:27" x14ac:dyDescent="0.25">
      <c r="B145" s="1" t="s">
        <v>654</v>
      </c>
      <c r="C145" s="1" t="s">
        <v>655</v>
      </c>
      <c r="D145" s="1" t="s">
        <v>4</v>
      </c>
      <c r="E145" s="1" t="s">
        <v>656</v>
      </c>
      <c r="F145" s="5"/>
      <c r="G145" s="14">
        <v>3.04</v>
      </c>
      <c r="H145" s="14" t="s">
        <v>1626</v>
      </c>
      <c r="M145" t="s">
        <v>735</v>
      </c>
      <c r="N145" t="s">
        <v>1651</v>
      </c>
      <c r="O145" t="s">
        <v>1653</v>
      </c>
      <c r="AA145" t="str">
        <f t="shared" si="6"/>
        <v xml:space="preserve">Azithromycin Oral liquid 200 mg/5 mL (p) </v>
      </c>
    </row>
    <row r="146" spans="2:27" x14ac:dyDescent="0.25">
      <c r="B146" s="1" t="s">
        <v>654</v>
      </c>
      <c r="C146" s="1" t="s">
        <v>655</v>
      </c>
      <c r="D146" s="1" t="s">
        <v>4</v>
      </c>
      <c r="E146" s="1" t="s">
        <v>205</v>
      </c>
      <c r="F146" s="5"/>
      <c r="M146" t="s">
        <v>735</v>
      </c>
      <c r="N146" t="s">
        <v>1651</v>
      </c>
      <c r="O146" t="s">
        <v>1653</v>
      </c>
      <c r="AA146" t="str">
        <f t="shared" si="6"/>
        <v>Azithromycin Powder for Injection 500 mg</v>
      </c>
    </row>
    <row r="147" spans="2:27" x14ac:dyDescent="0.25">
      <c r="B147" s="1" t="s">
        <v>36</v>
      </c>
      <c r="C147" s="1" t="s">
        <v>37</v>
      </c>
      <c r="D147" s="1" t="s">
        <v>4</v>
      </c>
      <c r="E147" s="1" t="s">
        <v>38</v>
      </c>
      <c r="F147" s="5"/>
      <c r="M147" t="s">
        <v>735</v>
      </c>
      <c r="N147" t="s">
        <v>1658</v>
      </c>
      <c r="O147" t="s">
        <v>1664</v>
      </c>
      <c r="AA147" t="str">
        <f t="shared" si="6"/>
        <v>Azithromycin*** Tablet 1000 mg</v>
      </c>
    </row>
    <row r="148" spans="2:27" x14ac:dyDescent="0.25">
      <c r="B148" s="1" t="s">
        <v>657</v>
      </c>
      <c r="C148" s="1" t="s">
        <v>658</v>
      </c>
      <c r="D148" s="1" t="s">
        <v>19</v>
      </c>
      <c r="E148" s="1" t="s">
        <v>659</v>
      </c>
      <c r="G148" s="10">
        <v>5.68</v>
      </c>
      <c r="H148" s="13" t="s">
        <v>1617</v>
      </c>
      <c r="I148" s="13" t="s">
        <v>1618</v>
      </c>
      <c r="M148" t="s">
        <v>1630</v>
      </c>
      <c r="N148" t="s">
        <v>1634</v>
      </c>
      <c r="AA148" t="str">
        <f t="shared" si="6"/>
        <v>Baclofen Tablet  5 mg</v>
      </c>
    </row>
    <row r="149" spans="2:27" x14ac:dyDescent="0.25">
      <c r="B149" s="1" t="s">
        <v>657</v>
      </c>
      <c r="C149" s="1" t="s">
        <v>658</v>
      </c>
      <c r="D149" s="1" t="s">
        <v>19</v>
      </c>
      <c r="E149" s="1" t="s">
        <v>220</v>
      </c>
      <c r="G149" s="10">
        <v>10.39</v>
      </c>
      <c r="H149" s="13" t="s">
        <v>1617</v>
      </c>
      <c r="I149" s="13" t="s">
        <v>1618</v>
      </c>
      <c r="M149" t="s">
        <v>1630</v>
      </c>
      <c r="N149" t="s">
        <v>1634</v>
      </c>
      <c r="AA149" t="str">
        <f t="shared" si="6"/>
        <v>Baclofen Tablet 10 mg</v>
      </c>
    </row>
    <row r="150" spans="2:27" x14ac:dyDescent="0.25">
      <c r="B150" s="1" t="s">
        <v>657</v>
      </c>
      <c r="C150" s="1" t="s">
        <v>658</v>
      </c>
      <c r="D150" s="1" t="s">
        <v>19</v>
      </c>
      <c r="E150" s="1" t="s">
        <v>76</v>
      </c>
      <c r="G150" s="10">
        <v>14.52</v>
      </c>
      <c r="H150" s="13" t="s">
        <v>1617</v>
      </c>
      <c r="I150" s="13" t="s">
        <v>1618</v>
      </c>
      <c r="M150" t="s">
        <v>1630</v>
      </c>
      <c r="N150" t="s">
        <v>1634</v>
      </c>
      <c r="AA150" t="str">
        <f t="shared" si="6"/>
        <v>Baclofen Tablet 20 mg</v>
      </c>
    </row>
    <row r="151" spans="2:27" x14ac:dyDescent="0.25">
      <c r="B151" s="1" t="s">
        <v>43</v>
      </c>
      <c r="C151" s="1" t="s">
        <v>40</v>
      </c>
      <c r="D151" s="1" t="s">
        <v>19</v>
      </c>
      <c r="E151" s="1" t="s">
        <v>44</v>
      </c>
      <c r="AA151" t="str">
        <f t="shared" si="6"/>
        <v>Barium sulphate Oral Liquid 95% w/v</v>
      </c>
    </row>
    <row r="152" spans="2:27" x14ac:dyDescent="0.25">
      <c r="B152" s="1" t="s">
        <v>660</v>
      </c>
      <c r="C152" s="1" t="s">
        <v>661</v>
      </c>
      <c r="D152" s="1" t="s">
        <v>4</v>
      </c>
      <c r="E152" s="1" t="s">
        <v>391</v>
      </c>
      <c r="AA152" t="str">
        <f t="shared" si="6"/>
        <v>BCG vaccine As licensed</v>
      </c>
    </row>
    <row r="153" spans="2:27" x14ac:dyDescent="0.25">
      <c r="B153" s="1" t="s">
        <v>45</v>
      </c>
      <c r="C153" s="1" t="s">
        <v>46</v>
      </c>
      <c r="D153" s="1" t="s">
        <v>8</v>
      </c>
      <c r="E153" s="1" t="s">
        <v>29</v>
      </c>
      <c r="F153" s="5"/>
      <c r="M153" t="s">
        <v>735</v>
      </c>
      <c r="N153" t="s">
        <v>1655</v>
      </c>
      <c r="AA153" t="str">
        <f t="shared" si="6"/>
        <v>Bedaquiline Tablet 100 mg</v>
      </c>
    </row>
    <row r="154" spans="2:27" x14ac:dyDescent="0.25">
      <c r="B154" s="1" t="s">
        <v>47</v>
      </c>
      <c r="C154" s="1" t="s">
        <v>48</v>
      </c>
      <c r="D154" s="1" t="s">
        <v>8</v>
      </c>
      <c r="E154" s="1" t="s">
        <v>49</v>
      </c>
      <c r="F154" s="5"/>
      <c r="G154" s="14">
        <v>4411.75</v>
      </c>
      <c r="H154" s="14" t="s">
        <v>1619</v>
      </c>
      <c r="AA154" t="str">
        <f t="shared" si="6"/>
        <v>Bendamustine hydrochloride Injection 100 mg/vial</v>
      </c>
    </row>
    <row r="155" spans="2:27" x14ac:dyDescent="0.25">
      <c r="B155" s="1" t="s">
        <v>47</v>
      </c>
      <c r="C155" s="1" t="s">
        <v>48</v>
      </c>
      <c r="D155" s="1" t="s">
        <v>8</v>
      </c>
      <c r="E155" s="1" t="s">
        <v>50</v>
      </c>
      <c r="F155" s="5"/>
      <c r="AA155" t="str">
        <f t="shared" si="6"/>
        <v>Bendamustine hydrochloride Injection 25 mg/ vial</v>
      </c>
    </row>
    <row r="156" spans="2:27" x14ac:dyDescent="0.25">
      <c r="B156" s="1" t="s">
        <v>662</v>
      </c>
      <c r="C156" s="1" t="s">
        <v>663</v>
      </c>
      <c r="D156" s="1" t="s">
        <v>4</v>
      </c>
      <c r="E156" s="1" t="s">
        <v>664</v>
      </c>
      <c r="M156" t="s">
        <v>735</v>
      </c>
      <c r="N156" t="s">
        <v>1651</v>
      </c>
      <c r="O156" t="s">
        <v>1653</v>
      </c>
      <c r="AA156" t="str">
        <f t="shared" si="6"/>
        <v>Benzathine benzylpenicillin Powder for Injection 6 lac units</v>
      </c>
    </row>
    <row r="157" spans="2:27" x14ac:dyDescent="0.25">
      <c r="B157" s="1" t="s">
        <v>662</v>
      </c>
      <c r="C157" s="1" t="s">
        <v>663</v>
      </c>
      <c r="D157" s="1" t="s">
        <v>4</v>
      </c>
      <c r="E157" s="1" t="s">
        <v>665</v>
      </c>
      <c r="M157" t="s">
        <v>735</v>
      </c>
      <c r="N157" t="s">
        <v>1651</v>
      </c>
      <c r="O157" t="s">
        <v>1653</v>
      </c>
      <c r="AA157" t="str">
        <f t="shared" si="6"/>
        <v>Benzathine benzylpenicillin Powder for Injection 12 lac units</v>
      </c>
    </row>
    <row r="158" spans="2:27" x14ac:dyDescent="0.25">
      <c r="B158" s="1" t="s">
        <v>662</v>
      </c>
      <c r="C158" s="1" t="s">
        <v>663</v>
      </c>
      <c r="D158" s="1" t="s">
        <v>4</v>
      </c>
      <c r="E158" s="1" t="s">
        <v>666</v>
      </c>
      <c r="M158" t="s">
        <v>735</v>
      </c>
      <c r="N158" t="s">
        <v>1651</v>
      </c>
      <c r="O158" t="s">
        <v>1653</v>
      </c>
      <c r="AA158" t="str">
        <f t="shared" si="6"/>
        <v>Benzathine benzylpenicillin Powder for injection 24 lac units</v>
      </c>
    </row>
    <row r="159" spans="2:27" x14ac:dyDescent="0.25">
      <c r="B159" s="1" t="s">
        <v>51</v>
      </c>
      <c r="C159" s="1" t="s">
        <v>52</v>
      </c>
      <c r="D159" s="1" t="s">
        <v>4</v>
      </c>
      <c r="E159" s="1" t="s">
        <v>53</v>
      </c>
      <c r="AA159" t="str">
        <f t="shared" si="6"/>
        <v>Benzoyl peroxide Gel 2.5 % - 5 %</v>
      </c>
    </row>
    <row r="160" spans="2:27" x14ac:dyDescent="0.25">
      <c r="B160" s="1" t="s">
        <v>54</v>
      </c>
      <c r="C160" s="1" t="s">
        <v>55</v>
      </c>
      <c r="D160" s="1" t="s">
        <v>4</v>
      </c>
      <c r="E160" s="1" t="s">
        <v>667</v>
      </c>
      <c r="M160" t="s">
        <v>735</v>
      </c>
      <c r="N160" t="s">
        <v>1651</v>
      </c>
      <c r="O160" t="s">
        <v>1653</v>
      </c>
      <c r="AA160" t="str">
        <f t="shared" si="6"/>
        <v>Benzylpenicillin Powder for injection 10 lac units</v>
      </c>
    </row>
    <row r="161" spans="2:27" x14ac:dyDescent="0.25">
      <c r="B161" s="1" t="s">
        <v>54</v>
      </c>
      <c r="C161" s="1" t="s">
        <v>55</v>
      </c>
      <c r="D161" s="1" t="s">
        <v>4</v>
      </c>
      <c r="E161" s="1" t="s">
        <v>56</v>
      </c>
      <c r="M161" t="s">
        <v>735</v>
      </c>
      <c r="N161" t="s">
        <v>1651</v>
      </c>
      <c r="O161" t="s">
        <v>1653</v>
      </c>
      <c r="AA161" t="str">
        <f t="shared" si="6"/>
        <v>Benzylpenicillin Powder for injection 5 lac units</v>
      </c>
    </row>
    <row r="162" spans="2:27" x14ac:dyDescent="0.25">
      <c r="B162" s="1" t="s">
        <v>668</v>
      </c>
      <c r="C162" s="1" t="s">
        <v>479</v>
      </c>
      <c r="D162" s="1" t="s">
        <v>4</v>
      </c>
      <c r="E162" s="1" t="s">
        <v>287</v>
      </c>
      <c r="AA162" t="str">
        <f t="shared" si="6"/>
        <v>Betamethasone Injection 4 mg/mL</v>
      </c>
    </row>
    <row r="163" spans="2:27" x14ac:dyDescent="0.25">
      <c r="B163" s="1" t="s">
        <v>669</v>
      </c>
      <c r="C163" s="1" t="s">
        <v>670</v>
      </c>
      <c r="D163" s="1" t="s">
        <v>4</v>
      </c>
      <c r="E163" s="1" t="s">
        <v>671</v>
      </c>
      <c r="M163" t="s">
        <v>1671</v>
      </c>
      <c r="AA163" t="str">
        <f t="shared" si="6"/>
        <v>Betamethasone valerate Cream 0.05 %</v>
      </c>
    </row>
    <row r="164" spans="2:27" x14ac:dyDescent="0.25">
      <c r="B164" s="1" t="s">
        <v>669</v>
      </c>
      <c r="C164" s="1" t="s">
        <v>670</v>
      </c>
      <c r="D164" s="1" t="s">
        <v>4</v>
      </c>
      <c r="E164" s="1" t="s">
        <v>672</v>
      </c>
      <c r="M164" t="s">
        <v>1671</v>
      </c>
      <c r="AA164" t="str">
        <f t="shared" si="6"/>
        <v>Betamethasone valerate Cream 0.1 %</v>
      </c>
    </row>
    <row r="165" spans="2:27" x14ac:dyDescent="0.25">
      <c r="B165" s="1" t="s">
        <v>673</v>
      </c>
      <c r="C165" s="1" t="s">
        <v>674</v>
      </c>
      <c r="D165" s="1" t="s">
        <v>8</v>
      </c>
      <c r="E165" s="1" t="s">
        <v>28</v>
      </c>
      <c r="G165" s="10">
        <v>38.619999999999997</v>
      </c>
      <c r="H165" s="13" t="s">
        <v>1617</v>
      </c>
      <c r="I165" s="13" t="s">
        <v>1618</v>
      </c>
      <c r="AA165" t="str">
        <f t="shared" si="6"/>
        <v>Bicalutamide Tablet 50 mg</v>
      </c>
    </row>
    <row r="166" spans="2:27" x14ac:dyDescent="0.25">
      <c r="B166" s="1" t="s">
        <v>675</v>
      </c>
      <c r="C166" s="1" t="s">
        <v>676</v>
      </c>
      <c r="D166" s="1" t="s">
        <v>4</v>
      </c>
      <c r="E166" s="1" t="s">
        <v>381</v>
      </c>
      <c r="G166" s="14">
        <v>1.04</v>
      </c>
      <c r="H166" s="14" t="s">
        <v>1624</v>
      </c>
      <c r="M166" t="s">
        <v>1666</v>
      </c>
      <c r="AA166" t="str">
        <f t="shared" si="6"/>
        <v>Bisacodyl Tablet 5 mg</v>
      </c>
    </row>
    <row r="167" spans="2:27" x14ac:dyDescent="0.25">
      <c r="B167" s="1" t="s">
        <v>675</v>
      </c>
      <c r="C167" s="1" t="s">
        <v>676</v>
      </c>
      <c r="D167" s="1" t="s">
        <v>4</v>
      </c>
      <c r="E167" s="1" t="s">
        <v>677</v>
      </c>
      <c r="G167" s="14">
        <v>8.9</v>
      </c>
      <c r="H167" s="14" t="s">
        <v>1626</v>
      </c>
      <c r="M167" t="s">
        <v>1666</v>
      </c>
      <c r="AA167" t="str">
        <f t="shared" si="6"/>
        <v>Bisacodyl Suppository 5 mg</v>
      </c>
    </row>
    <row r="168" spans="2:27" x14ac:dyDescent="0.25">
      <c r="B168" s="1" t="s">
        <v>678</v>
      </c>
      <c r="C168" s="1" t="s">
        <v>679</v>
      </c>
      <c r="D168" s="1" t="s">
        <v>8</v>
      </c>
      <c r="E168" s="1" t="s">
        <v>680</v>
      </c>
      <c r="G168" s="14">
        <v>604.14</v>
      </c>
      <c r="H168" s="1" t="s">
        <v>1622</v>
      </c>
      <c r="AA168" t="str">
        <f t="shared" si="6"/>
        <v>Bleomycin Powder for Injection 15 units</v>
      </c>
    </row>
    <row r="169" spans="2:27" x14ac:dyDescent="0.25">
      <c r="B169" s="1" t="s">
        <v>681</v>
      </c>
      <c r="C169" s="1" t="s">
        <v>682</v>
      </c>
      <c r="D169" s="1" t="s">
        <v>8</v>
      </c>
      <c r="E169" s="1" t="s">
        <v>683</v>
      </c>
      <c r="G169" s="14">
        <v>4691.51</v>
      </c>
      <c r="H169" s="1" t="s">
        <v>1622</v>
      </c>
      <c r="AA169" t="str">
        <f t="shared" si="6"/>
        <v>Bortezomib Powder for Injection 2 mg</v>
      </c>
    </row>
    <row r="170" spans="2:27" x14ac:dyDescent="0.25">
      <c r="B170" s="1">
        <v>16.100000000000001</v>
      </c>
      <c r="C170" s="1" t="s">
        <v>684</v>
      </c>
      <c r="D170" s="1" t="s">
        <v>4</v>
      </c>
      <c r="E170" s="1" t="s">
        <v>685</v>
      </c>
      <c r="M170" t="s">
        <v>1672</v>
      </c>
      <c r="AA170" t="str">
        <f t="shared" si="6"/>
        <v xml:space="preserve">Budesonide Nasal Spray 50 mcg/dose </v>
      </c>
    </row>
    <row r="171" spans="2:27" x14ac:dyDescent="0.25">
      <c r="B171" s="1">
        <v>16.100000000000001</v>
      </c>
      <c r="C171" s="1" t="s">
        <v>684</v>
      </c>
      <c r="D171" s="1" t="s">
        <v>4</v>
      </c>
      <c r="E171" s="1" t="s">
        <v>686</v>
      </c>
      <c r="M171" t="s">
        <v>1672</v>
      </c>
      <c r="AA171" t="str">
        <f t="shared" si="6"/>
        <v>Budesonide Nasal Spray 100 mcg/dose</v>
      </c>
    </row>
    <row r="172" spans="2:27" x14ac:dyDescent="0.25">
      <c r="B172" s="1" t="s">
        <v>687</v>
      </c>
      <c r="C172" s="1" t="s">
        <v>684</v>
      </c>
      <c r="D172" s="1" t="s">
        <v>4</v>
      </c>
      <c r="E172" s="1" t="s">
        <v>688</v>
      </c>
      <c r="M172" t="s">
        <v>1673</v>
      </c>
      <c r="AA172" t="str">
        <f t="shared" si="6"/>
        <v>Budesonide Inhalation (MDI/DPI) 100 mcg/dose</v>
      </c>
    </row>
    <row r="173" spans="2:27" x14ac:dyDescent="0.25">
      <c r="B173" s="1" t="s">
        <v>687</v>
      </c>
      <c r="C173" s="1" t="s">
        <v>684</v>
      </c>
      <c r="D173" s="1" t="s">
        <v>4</v>
      </c>
      <c r="E173" s="1" t="s">
        <v>689</v>
      </c>
      <c r="M173" t="s">
        <v>1673</v>
      </c>
      <c r="AA173" t="str">
        <f t="shared" si="6"/>
        <v>Budesonide Inhalation (MDI/DPI) 200 mcg/dose</v>
      </c>
    </row>
    <row r="174" spans="2:27" x14ac:dyDescent="0.25">
      <c r="B174" s="1" t="s">
        <v>687</v>
      </c>
      <c r="C174" s="1" t="s">
        <v>684</v>
      </c>
      <c r="D174" s="1" t="s">
        <v>4</v>
      </c>
      <c r="E174" s="1" t="s">
        <v>690</v>
      </c>
      <c r="F174" s="5"/>
      <c r="M174" t="s">
        <v>1673</v>
      </c>
      <c r="AA174" t="str">
        <f t="shared" si="6"/>
        <v>Budesonide Respirator solution for use in nebulizer 0.5 mg/mL</v>
      </c>
    </row>
    <row r="175" spans="2:27" x14ac:dyDescent="0.25">
      <c r="B175" s="1" t="s">
        <v>687</v>
      </c>
      <c r="C175" s="1" t="s">
        <v>684</v>
      </c>
      <c r="D175" s="1" t="s">
        <v>4</v>
      </c>
      <c r="E175" s="1" t="s">
        <v>691</v>
      </c>
      <c r="F175" s="5"/>
      <c r="M175" t="s">
        <v>1673</v>
      </c>
      <c r="AA175" t="str">
        <f t="shared" si="6"/>
        <v>Budesonide Respirator solution for use in
nebulizer 1 mg/mL</v>
      </c>
    </row>
    <row r="176" spans="2:27" x14ac:dyDescent="0.25">
      <c r="B176" s="1" t="s">
        <v>692</v>
      </c>
      <c r="C176" s="1" t="s">
        <v>693</v>
      </c>
      <c r="D176" s="1" t="s">
        <v>4</v>
      </c>
      <c r="E176" s="1" t="s">
        <v>694</v>
      </c>
      <c r="F176" s="5"/>
      <c r="M176" t="s">
        <v>1673</v>
      </c>
      <c r="AA176" t="str">
        <f t="shared" si="6"/>
        <v>Budesonide (A) + Formoterol (B) Inhalation (MDI/DPI) 100 mcg (A) + 6 mcg (B)</v>
      </c>
    </row>
    <row r="177" spans="2:27" x14ac:dyDescent="0.25">
      <c r="B177" s="1" t="s">
        <v>692</v>
      </c>
      <c r="C177" s="1" t="s">
        <v>693</v>
      </c>
      <c r="D177" s="1" t="s">
        <v>4</v>
      </c>
      <c r="E177" s="1" t="s">
        <v>695</v>
      </c>
      <c r="F177" s="5"/>
      <c r="M177" t="s">
        <v>1673</v>
      </c>
      <c r="AA177" t="str">
        <f t="shared" si="6"/>
        <v>Budesonide (A) + Formoterol (B) Inhalation (MDI/DPI) 200 mcg (A) + 6 mcg (B)</v>
      </c>
    </row>
    <row r="178" spans="2:27" x14ac:dyDescent="0.25">
      <c r="B178" s="1" t="s">
        <v>692</v>
      </c>
      <c r="C178" s="1" t="s">
        <v>693</v>
      </c>
      <c r="D178" s="1" t="s">
        <v>4</v>
      </c>
      <c r="E178" s="1" t="s">
        <v>696</v>
      </c>
      <c r="F178" s="5"/>
      <c r="M178" t="s">
        <v>1673</v>
      </c>
      <c r="AA178" t="str">
        <f t="shared" si="6"/>
        <v>Budesonide (A) + Formoterol (B) Inhalation (MDI/DPI) 400 mcg (A) + 6 mcg (B)</v>
      </c>
    </row>
    <row r="179" spans="2:27" x14ac:dyDescent="0.25">
      <c r="B179" s="1" t="s">
        <v>697</v>
      </c>
      <c r="C179" s="1" t="s">
        <v>698</v>
      </c>
      <c r="D179" s="1" t="s">
        <v>19</v>
      </c>
      <c r="E179" s="1" t="s">
        <v>699</v>
      </c>
      <c r="F179" s="5"/>
      <c r="M179" t="s">
        <v>1630</v>
      </c>
      <c r="N179" t="s">
        <v>1632</v>
      </c>
      <c r="AA179" t="str">
        <f t="shared" si="6"/>
        <v>Bupivacaine Injection 0.25 %</v>
      </c>
    </row>
    <row r="180" spans="2:27" x14ac:dyDescent="0.25">
      <c r="B180" s="1" t="s">
        <v>697</v>
      </c>
      <c r="C180" s="1" t="s">
        <v>698</v>
      </c>
      <c r="D180" s="1" t="s">
        <v>19</v>
      </c>
      <c r="E180" s="1" t="s">
        <v>700</v>
      </c>
      <c r="F180" s="5"/>
      <c r="M180" t="s">
        <v>1630</v>
      </c>
      <c r="N180" t="s">
        <v>1632</v>
      </c>
      <c r="AA180" t="str">
        <f t="shared" si="6"/>
        <v>Bupivacaine Injection 0.5 %</v>
      </c>
    </row>
    <row r="181" spans="2:27" x14ac:dyDescent="0.25">
      <c r="B181" s="1" t="s">
        <v>697</v>
      </c>
      <c r="C181" s="1" t="s">
        <v>698</v>
      </c>
      <c r="D181" s="1" t="s">
        <v>19</v>
      </c>
      <c r="E181" s="1" t="s">
        <v>701</v>
      </c>
      <c r="F181" s="5"/>
      <c r="M181" t="s">
        <v>1630</v>
      </c>
      <c r="N181" t="s">
        <v>1632</v>
      </c>
      <c r="AA181" t="str">
        <f t="shared" si="6"/>
        <v>Bupivacaine Injection 0.5 % with 7.5 % glucose</v>
      </c>
    </row>
    <row r="182" spans="2:27" x14ac:dyDescent="0.25">
      <c r="B182" s="1" t="s">
        <v>60</v>
      </c>
      <c r="C182" s="1" t="s">
        <v>61</v>
      </c>
      <c r="D182" s="1" t="s">
        <v>4</v>
      </c>
      <c r="E182" s="1" t="s">
        <v>62</v>
      </c>
      <c r="F182" s="5"/>
      <c r="G182" s="14">
        <v>8.41</v>
      </c>
      <c r="H182" s="14" t="s">
        <v>1625</v>
      </c>
      <c r="AA182" t="str">
        <f t="shared" si="6"/>
        <v>Buprenorphine Tablet (Sub-lingual) 0.4 mg</v>
      </c>
    </row>
    <row r="183" spans="2:27" x14ac:dyDescent="0.25">
      <c r="B183" s="1" t="s">
        <v>63</v>
      </c>
      <c r="C183" s="1" t="s">
        <v>64</v>
      </c>
      <c r="D183" s="1" t="s">
        <v>4</v>
      </c>
      <c r="E183" s="1" t="s">
        <v>65</v>
      </c>
      <c r="F183" s="5"/>
      <c r="G183" s="14">
        <v>32.979999999999997</v>
      </c>
      <c r="H183" s="14" t="s">
        <v>1625</v>
      </c>
      <c r="M183" t="s">
        <v>1669</v>
      </c>
      <c r="AA183" t="str">
        <f t="shared" si="6"/>
        <v>Buprenorphine (A) + Naloxone (B) Tablet (Sub-lingual) 2 mg (A) + 0.5 mg (B)</v>
      </c>
    </row>
    <row r="184" spans="2:27" x14ac:dyDescent="0.25">
      <c r="B184" s="1" t="s">
        <v>63</v>
      </c>
      <c r="C184" s="1" t="s">
        <v>64</v>
      </c>
      <c r="D184" s="1" t="s">
        <v>4</v>
      </c>
      <c r="E184" s="1" t="s">
        <v>66</v>
      </c>
      <c r="F184" s="5"/>
      <c r="G184" s="14">
        <v>10.54</v>
      </c>
      <c r="H184" s="14" t="s">
        <v>1625</v>
      </c>
      <c r="M184" t="s">
        <v>1669</v>
      </c>
      <c r="AA184" t="str">
        <f t="shared" si="6"/>
        <v>Buprenorphine (A) + Naloxone (B) Tablet (Sub-lingual) 0.4 mg (A)
+ 0.1 mg (B)</v>
      </c>
    </row>
    <row r="185" spans="2:27" x14ac:dyDescent="0.25">
      <c r="B185" s="1">
        <v>20.2</v>
      </c>
      <c r="C185" s="1" t="s">
        <v>702</v>
      </c>
      <c r="D185" s="1" t="s">
        <v>19</v>
      </c>
      <c r="E185" s="1" t="s">
        <v>703</v>
      </c>
      <c r="F185" s="5"/>
      <c r="M185" t="s">
        <v>1674</v>
      </c>
      <c r="AA185" t="str">
        <f t="shared" si="6"/>
        <v>Caffeine Injection 20 mg/mL</v>
      </c>
    </row>
    <row r="186" spans="2:27" x14ac:dyDescent="0.25">
      <c r="B186" s="1">
        <v>20.2</v>
      </c>
      <c r="C186" s="1" t="s">
        <v>702</v>
      </c>
      <c r="D186" s="1" t="s">
        <v>19</v>
      </c>
      <c r="E186" s="1" t="s">
        <v>704</v>
      </c>
      <c r="F186" s="5"/>
      <c r="G186" s="14">
        <v>219.11</v>
      </c>
      <c r="H186" s="1" t="s">
        <v>1622</v>
      </c>
      <c r="M186" t="s">
        <v>1674</v>
      </c>
      <c r="AA186" t="str">
        <f t="shared" si="6"/>
        <v>Caffeine Oral liquid 20 mg/mL</v>
      </c>
    </row>
    <row r="187" spans="2:27" x14ac:dyDescent="0.25">
      <c r="B187" s="1" t="s">
        <v>705</v>
      </c>
      <c r="C187" s="1" t="s">
        <v>706</v>
      </c>
      <c r="D187" s="1" t="s">
        <v>4</v>
      </c>
      <c r="E187" s="1" t="s">
        <v>707</v>
      </c>
      <c r="F187" s="5"/>
      <c r="AA187" t="str">
        <f t="shared" si="6"/>
        <v>Calamine Lotion (As per IP)</v>
      </c>
    </row>
    <row r="188" spans="2:27" x14ac:dyDescent="0.25">
      <c r="B188" s="1">
        <v>26.2</v>
      </c>
      <c r="C188" s="1" t="s">
        <v>708</v>
      </c>
      <c r="D188" s="1" t="s">
        <v>4</v>
      </c>
      <c r="E188" s="1" t="s">
        <v>709</v>
      </c>
      <c r="F188" s="5"/>
      <c r="AA188" t="str">
        <f t="shared" si="6"/>
        <v>Calcium carbonate Tablet 1250 mg (equivalent to elemental calcium 500 mg)</v>
      </c>
    </row>
    <row r="189" spans="2:27" x14ac:dyDescent="0.25">
      <c r="B189" s="1"/>
      <c r="C189" s="1"/>
      <c r="D189" s="1"/>
      <c r="E189" s="1"/>
      <c r="J189" t="s">
        <v>530</v>
      </c>
      <c r="K189" t="str">
        <f t="shared" si="7"/>
        <v xml:space="preserve"> </v>
      </c>
      <c r="L189">
        <f t="shared" si="8"/>
        <v>0</v>
      </c>
      <c r="AA189" t="str">
        <f t="shared" si="6"/>
        <v xml:space="preserve"> </v>
      </c>
    </row>
    <row r="190" spans="2:27" x14ac:dyDescent="0.25">
      <c r="B190" s="2" t="s">
        <v>710</v>
      </c>
      <c r="C190" s="1"/>
      <c r="D190" s="1"/>
      <c r="E190" s="1"/>
      <c r="J190" t="s">
        <v>530</v>
      </c>
      <c r="K190" t="str">
        <f t="shared" si="7"/>
        <v xml:space="preserve"> </v>
      </c>
      <c r="L190" t="str">
        <f t="shared" si="8"/>
        <v>Section 5.2- Antimigraine Medicines</v>
      </c>
      <c r="AA190" t="str">
        <f t="shared" si="6"/>
        <v xml:space="preserve"> </v>
      </c>
    </row>
    <row r="191" spans="2:27" x14ac:dyDescent="0.25">
      <c r="B191" s="1">
        <v>26.2</v>
      </c>
      <c r="C191" s="1" t="s">
        <v>708</v>
      </c>
      <c r="D191" s="1" t="s">
        <v>4</v>
      </c>
      <c r="E191" s="1" t="s">
        <v>711</v>
      </c>
      <c r="AA191" t="str">
        <f t="shared" si="6"/>
        <v>Calcium carbonate Tablet 625 mg (equivalent to elemental calcium 250 mg)</v>
      </c>
    </row>
    <row r="192" spans="2:27" x14ac:dyDescent="0.25">
      <c r="B192" s="1" t="s">
        <v>712</v>
      </c>
      <c r="C192" s="1" t="s">
        <v>713</v>
      </c>
      <c r="D192" s="1" t="s">
        <v>8</v>
      </c>
      <c r="E192" s="1" t="s">
        <v>554</v>
      </c>
      <c r="M192" t="s">
        <v>1668</v>
      </c>
      <c r="AA192" t="str">
        <f t="shared" si="6"/>
        <v>Calcium folinate Injection 3 mg/mL</v>
      </c>
    </row>
    <row r="193" spans="2:27" x14ac:dyDescent="0.25">
      <c r="B193" s="1" t="s">
        <v>712</v>
      </c>
      <c r="C193" s="1" t="s">
        <v>713</v>
      </c>
      <c r="D193" s="1" t="s">
        <v>8</v>
      </c>
      <c r="E193" s="1" t="s">
        <v>714</v>
      </c>
      <c r="M193" t="s">
        <v>1668</v>
      </c>
      <c r="AA193" t="str">
        <f t="shared" si="6"/>
        <v>Calcium folinate Tablet 15 mg</v>
      </c>
    </row>
    <row r="194" spans="2:27" x14ac:dyDescent="0.25">
      <c r="B194" s="1" t="s">
        <v>715</v>
      </c>
      <c r="C194" s="1" t="s">
        <v>716</v>
      </c>
      <c r="D194" s="1" t="s">
        <v>4</v>
      </c>
      <c r="E194" s="1" t="s">
        <v>20</v>
      </c>
      <c r="M194" t="s">
        <v>631</v>
      </c>
      <c r="N194" t="s">
        <v>1641</v>
      </c>
      <c r="AA194" t="str">
        <f t="shared" si="6"/>
        <v>Calcium gluconate Injection 100 mg/mL</v>
      </c>
    </row>
    <row r="195" spans="2:27" x14ac:dyDescent="0.25">
      <c r="B195" s="1">
        <v>26.3</v>
      </c>
      <c r="C195" s="1" t="s">
        <v>716</v>
      </c>
      <c r="D195" s="1" t="s">
        <v>4</v>
      </c>
      <c r="E195" s="1" t="s">
        <v>20</v>
      </c>
      <c r="AA195" t="str">
        <f t="shared" si="6"/>
        <v>Calcium gluconate Injection 100 mg/mL</v>
      </c>
    </row>
    <row r="196" spans="2:27" x14ac:dyDescent="0.25">
      <c r="B196" s="1" t="s">
        <v>717</v>
      </c>
      <c r="C196" s="1" t="s">
        <v>718</v>
      </c>
      <c r="D196" s="1" t="s">
        <v>8</v>
      </c>
      <c r="E196" s="1" t="s">
        <v>85</v>
      </c>
      <c r="G196" s="10">
        <v>100.53</v>
      </c>
      <c r="H196" s="13" t="s">
        <v>1617</v>
      </c>
      <c r="I196" s="13" t="s">
        <v>1618</v>
      </c>
      <c r="AA196" t="str">
        <f t="shared" si="6"/>
        <v>Capecitabine Tablet 500 mg</v>
      </c>
    </row>
    <row r="197" spans="2:27" x14ac:dyDescent="0.25">
      <c r="B197" s="1" t="s">
        <v>71</v>
      </c>
      <c r="C197" s="1" t="s">
        <v>72</v>
      </c>
      <c r="D197" s="1" t="s">
        <v>4</v>
      </c>
      <c r="E197" s="1" t="s">
        <v>29</v>
      </c>
      <c r="G197" s="14">
        <v>0.95</v>
      </c>
      <c r="H197" s="14" t="s">
        <v>1626</v>
      </c>
      <c r="M197" t="s">
        <v>651</v>
      </c>
      <c r="N197" t="s">
        <v>1642</v>
      </c>
      <c r="AA197" t="str">
        <f t="shared" si="6"/>
        <v>Carbamazepine Tablet 100 mg</v>
      </c>
    </row>
    <row r="198" spans="2:27" x14ac:dyDescent="0.25">
      <c r="B198" s="1" t="s">
        <v>71</v>
      </c>
      <c r="C198" s="1" t="s">
        <v>72</v>
      </c>
      <c r="D198" s="1" t="s">
        <v>4</v>
      </c>
      <c r="E198" s="1" t="s">
        <v>114</v>
      </c>
      <c r="G198" s="14">
        <v>1.4</v>
      </c>
      <c r="H198" s="14" t="s">
        <v>1624</v>
      </c>
      <c r="M198" t="s">
        <v>651</v>
      </c>
      <c r="N198" t="s">
        <v>1642</v>
      </c>
      <c r="AA198" t="str">
        <f t="shared" si="6"/>
        <v>Carbamazepine Tablet 200 mg</v>
      </c>
    </row>
    <row r="199" spans="2:27" x14ac:dyDescent="0.25">
      <c r="B199" s="1" t="s">
        <v>71</v>
      </c>
      <c r="C199" s="1" t="s">
        <v>72</v>
      </c>
      <c r="D199" s="1" t="s">
        <v>4</v>
      </c>
      <c r="E199" s="1" t="s">
        <v>511</v>
      </c>
      <c r="G199" s="10">
        <v>3.17</v>
      </c>
      <c r="H199" s="13" t="s">
        <v>1617</v>
      </c>
      <c r="I199" s="13" t="s">
        <v>1618</v>
      </c>
      <c r="M199" t="s">
        <v>651</v>
      </c>
      <c r="N199" t="s">
        <v>1642</v>
      </c>
      <c r="AA199" t="str">
        <f t="shared" si="6"/>
        <v>Carbamazepine Tablet 400 mg</v>
      </c>
    </row>
    <row r="200" spans="2:27" x14ac:dyDescent="0.25">
      <c r="B200" s="1" t="s">
        <v>71</v>
      </c>
      <c r="C200" s="1" t="s">
        <v>72</v>
      </c>
      <c r="D200" s="1" t="s">
        <v>4</v>
      </c>
      <c r="E200" s="1" t="s">
        <v>719</v>
      </c>
      <c r="G200" s="11">
        <v>2.14</v>
      </c>
      <c r="H200" s="13" t="s">
        <v>1617</v>
      </c>
      <c r="I200" s="13" t="s">
        <v>1618</v>
      </c>
      <c r="M200" t="s">
        <v>651</v>
      </c>
      <c r="N200" t="s">
        <v>1642</v>
      </c>
      <c r="AA200" t="str">
        <f t="shared" si="6"/>
        <v>Carbamazepine Modified Release - Tablet 200 mg</v>
      </c>
    </row>
    <row r="201" spans="2:27" x14ac:dyDescent="0.25">
      <c r="B201" s="1" t="s">
        <v>71</v>
      </c>
      <c r="C201" s="1" t="s">
        <v>72</v>
      </c>
      <c r="D201" s="1" t="s">
        <v>4</v>
      </c>
      <c r="E201" s="1" t="s">
        <v>720</v>
      </c>
      <c r="G201" s="11">
        <v>4.16</v>
      </c>
      <c r="H201" s="13" t="s">
        <v>1617</v>
      </c>
      <c r="I201" s="13" t="s">
        <v>1618</v>
      </c>
      <c r="M201" t="s">
        <v>651</v>
      </c>
      <c r="N201" t="s">
        <v>1642</v>
      </c>
      <c r="AA201" t="str">
        <f t="shared" ref="AA201:AA264" si="9">C201&amp;" "&amp;E201</f>
        <v>Carbamazepine Modified Release - Tablet 400 mg</v>
      </c>
    </row>
    <row r="202" spans="2:27" x14ac:dyDescent="0.25">
      <c r="B202" s="1" t="s">
        <v>71</v>
      </c>
      <c r="C202" s="1" t="s">
        <v>72</v>
      </c>
      <c r="D202" s="1" t="s">
        <v>4</v>
      </c>
      <c r="E202" s="1" t="s">
        <v>721</v>
      </c>
      <c r="G202" s="14">
        <v>0.28000000000000003</v>
      </c>
      <c r="H202" s="1" t="s">
        <v>1622</v>
      </c>
      <c r="M202" t="s">
        <v>651</v>
      </c>
      <c r="N202" t="s">
        <v>1642</v>
      </c>
      <c r="AA202" t="str">
        <f t="shared" si="9"/>
        <v>Carbamazepine Oral liquid 100 mg/5 mL (p)</v>
      </c>
    </row>
    <row r="203" spans="2:27" x14ac:dyDescent="0.25">
      <c r="B203" s="1"/>
      <c r="C203" s="1"/>
      <c r="D203" s="1"/>
      <c r="E203" s="1"/>
      <c r="J203" t="s">
        <v>530</v>
      </c>
      <c r="K203" t="str">
        <f t="shared" ref="K203:K250" si="10">C203&amp;" "&amp;E203</f>
        <v xml:space="preserve"> </v>
      </c>
      <c r="L203">
        <f t="shared" ref="L203:L250" si="11">B203</f>
        <v>0</v>
      </c>
      <c r="AA203" t="str">
        <f t="shared" si="9"/>
        <v xml:space="preserve"> </v>
      </c>
    </row>
    <row r="204" spans="2:27" x14ac:dyDescent="0.25">
      <c r="B204" s="2" t="s">
        <v>722</v>
      </c>
      <c r="C204" s="1"/>
      <c r="D204" s="1"/>
      <c r="E204" s="1"/>
      <c r="J204" t="s">
        <v>530</v>
      </c>
      <c r="K204" t="str">
        <f t="shared" si="10"/>
        <v xml:space="preserve"> </v>
      </c>
      <c r="L204" t="str">
        <f t="shared" si="11"/>
        <v>Section 5.2.1 - For Prophylaxis</v>
      </c>
      <c r="AA204" t="str">
        <f t="shared" si="9"/>
        <v xml:space="preserve"> </v>
      </c>
    </row>
    <row r="205" spans="2:27" x14ac:dyDescent="0.25">
      <c r="B205" s="1" t="s">
        <v>723</v>
      </c>
      <c r="C205" s="1" t="s">
        <v>72</v>
      </c>
      <c r="D205" s="1" t="s">
        <v>4</v>
      </c>
      <c r="E205" s="1" t="s">
        <v>29</v>
      </c>
      <c r="G205" s="14">
        <v>0.95</v>
      </c>
      <c r="H205" s="14" t="s">
        <v>1626</v>
      </c>
      <c r="M205" t="s">
        <v>1669</v>
      </c>
      <c r="AA205" t="str">
        <f t="shared" si="9"/>
        <v>Carbamazepine Tablet 100 mg</v>
      </c>
    </row>
    <row r="206" spans="2:27" x14ac:dyDescent="0.25">
      <c r="B206" s="1" t="s">
        <v>723</v>
      </c>
      <c r="C206" s="1" t="s">
        <v>72</v>
      </c>
      <c r="D206" s="1" t="s">
        <v>4</v>
      </c>
      <c r="E206" s="1" t="s">
        <v>114</v>
      </c>
      <c r="G206" s="14">
        <v>1.4</v>
      </c>
      <c r="H206" s="14" t="s">
        <v>1624</v>
      </c>
      <c r="M206" t="s">
        <v>1669</v>
      </c>
      <c r="AA206" t="str">
        <f t="shared" si="9"/>
        <v>Carbamazepine Tablet 200 mg</v>
      </c>
    </row>
    <row r="207" spans="2:27" x14ac:dyDescent="0.25">
      <c r="B207" s="1" t="s">
        <v>723</v>
      </c>
      <c r="C207" s="1" t="s">
        <v>72</v>
      </c>
      <c r="D207" s="1" t="s">
        <v>4</v>
      </c>
      <c r="E207" s="1" t="s">
        <v>562</v>
      </c>
      <c r="G207" s="10">
        <v>3.17</v>
      </c>
      <c r="H207" s="13" t="s">
        <v>1617</v>
      </c>
      <c r="I207" s="13" t="s">
        <v>1618</v>
      </c>
      <c r="M207" t="s">
        <v>1669</v>
      </c>
      <c r="AA207" t="str">
        <f t="shared" si="9"/>
        <v xml:space="preserve">Carbamazepine Tablet 400 mg </v>
      </c>
    </row>
    <row r="208" spans="2:27" x14ac:dyDescent="0.25">
      <c r="B208" s="1" t="s">
        <v>723</v>
      </c>
      <c r="C208" s="1" t="s">
        <v>72</v>
      </c>
      <c r="D208" s="1" t="s">
        <v>4</v>
      </c>
      <c r="E208" s="1" t="s">
        <v>719</v>
      </c>
      <c r="G208" s="11">
        <v>2.14</v>
      </c>
      <c r="H208" s="13" t="s">
        <v>1617</v>
      </c>
      <c r="I208" s="13" t="s">
        <v>1618</v>
      </c>
      <c r="M208" t="s">
        <v>1669</v>
      </c>
      <c r="AA208" t="str">
        <f t="shared" si="9"/>
        <v>Carbamazepine Modified Release - Tablet 200 mg</v>
      </c>
    </row>
    <row r="209" spans="2:27" x14ac:dyDescent="0.25">
      <c r="B209" s="1" t="s">
        <v>723</v>
      </c>
      <c r="C209" s="1" t="s">
        <v>72</v>
      </c>
      <c r="D209" s="1" t="s">
        <v>4</v>
      </c>
      <c r="E209" s="1" t="s">
        <v>720</v>
      </c>
      <c r="G209" s="11">
        <v>4.16</v>
      </c>
      <c r="H209" s="13" t="s">
        <v>1617</v>
      </c>
      <c r="I209" s="13" t="s">
        <v>1618</v>
      </c>
      <c r="M209" t="s">
        <v>1669</v>
      </c>
      <c r="AA209" t="str">
        <f t="shared" si="9"/>
        <v>Carbamazepine Modified Release - Tablet 400 mg</v>
      </c>
    </row>
    <row r="210" spans="2:27" x14ac:dyDescent="0.25">
      <c r="B210" s="1" t="s">
        <v>723</v>
      </c>
      <c r="C210" s="1" t="s">
        <v>72</v>
      </c>
      <c r="D210" s="1" t="s">
        <v>4</v>
      </c>
      <c r="E210" s="1" t="s">
        <v>721</v>
      </c>
      <c r="G210" s="14">
        <v>0.28000000000000003</v>
      </c>
      <c r="H210" s="1" t="s">
        <v>1622</v>
      </c>
      <c r="M210" t="s">
        <v>1669</v>
      </c>
      <c r="AA210" t="str">
        <f t="shared" si="9"/>
        <v>Carbamazepine Oral liquid 100 mg/5 mL (p)</v>
      </c>
    </row>
    <row r="211" spans="2:27" x14ac:dyDescent="0.25">
      <c r="B211" s="1" t="s">
        <v>74</v>
      </c>
      <c r="C211" s="1" t="s">
        <v>75</v>
      </c>
      <c r="D211" s="1" t="s">
        <v>4</v>
      </c>
      <c r="E211" s="1" t="s">
        <v>381</v>
      </c>
      <c r="G211" s="14">
        <v>1.95</v>
      </c>
      <c r="H211" s="14" t="s">
        <v>1624</v>
      </c>
      <c r="M211" t="s">
        <v>1675</v>
      </c>
      <c r="AA211" t="str">
        <f t="shared" si="9"/>
        <v>Carbimazole Tablet 5 mg</v>
      </c>
    </row>
    <row r="212" spans="2:27" x14ac:dyDescent="0.25">
      <c r="B212" s="1" t="s">
        <v>74</v>
      </c>
      <c r="C212" s="1" t="s">
        <v>75</v>
      </c>
      <c r="D212" s="1" t="s">
        <v>4</v>
      </c>
      <c r="E212" s="1" t="s">
        <v>220</v>
      </c>
      <c r="G212" s="14">
        <v>3.8</v>
      </c>
      <c r="H212" s="14" t="s">
        <v>1624</v>
      </c>
      <c r="M212" t="s">
        <v>1675</v>
      </c>
      <c r="AA212" t="str">
        <f t="shared" si="9"/>
        <v>Carbimazole Tablet 10 mg</v>
      </c>
    </row>
    <row r="213" spans="2:27" x14ac:dyDescent="0.25">
      <c r="B213" s="1"/>
      <c r="C213" s="1"/>
      <c r="D213" s="1"/>
      <c r="E213" s="1"/>
      <c r="J213" t="s">
        <v>530</v>
      </c>
      <c r="K213" t="str">
        <f t="shared" si="10"/>
        <v xml:space="preserve"> </v>
      </c>
      <c r="L213">
        <f t="shared" si="11"/>
        <v>0</v>
      </c>
      <c r="AA213" t="str">
        <f t="shared" si="9"/>
        <v xml:space="preserve"> </v>
      </c>
    </row>
    <row r="214" spans="2:27" x14ac:dyDescent="0.25">
      <c r="B214" s="2" t="s">
        <v>724</v>
      </c>
      <c r="C214" s="1"/>
      <c r="D214" s="1"/>
      <c r="E214" s="1"/>
      <c r="J214" t="s">
        <v>530</v>
      </c>
      <c r="K214" t="str">
        <f t="shared" si="10"/>
        <v xml:space="preserve"> </v>
      </c>
      <c r="L214" t="str">
        <f t="shared" si="11"/>
        <v>Section 5.3- Antiparkinsonism Medicines</v>
      </c>
      <c r="AA214" t="str">
        <f t="shared" si="9"/>
        <v xml:space="preserve"> </v>
      </c>
    </row>
    <row r="215" spans="2:27" x14ac:dyDescent="0.25">
      <c r="B215" s="1" t="s">
        <v>74</v>
      </c>
      <c r="C215" s="1" t="s">
        <v>75</v>
      </c>
      <c r="D215" s="1" t="s">
        <v>4</v>
      </c>
      <c r="E215" s="1" t="s">
        <v>76</v>
      </c>
      <c r="F215" s="5"/>
      <c r="G215" s="1">
        <v>12.37</v>
      </c>
      <c r="H215" s="14" t="s">
        <v>1619</v>
      </c>
      <c r="M215" t="s">
        <v>1675</v>
      </c>
      <c r="AA215" t="str">
        <f t="shared" si="9"/>
        <v>Carbimazole Tablet 20 mg</v>
      </c>
    </row>
    <row r="216" spans="2:27" x14ac:dyDescent="0.25">
      <c r="B216" s="1" t="s">
        <v>725</v>
      </c>
      <c r="C216" s="1" t="s">
        <v>726</v>
      </c>
      <c r="D216" s="1" t="s">
        <v>8</v>
      </c>
      <c r="E216" s="1" t="s">
        <v>643</v>
      </c>
      <c r="F216" s="5"/>
      <c r="AA216" t="str">
        <f t="shared" si="9"/>
        <v>Carboplatin Injection 10 mg/mL</v>
      </c>
    </row>
    <row r="217" spans="2:27" x14ac:dyDescent="0.25">
      <c r="B217" s="1" t="s">
        <v>727</v>
      </c>
      <c r="C217" s="1" t="s">
        <v>728</v>
      </c>
      <c r="D217" s="1" t="s">
        <v>4</v>
      </c>
      <c r="E217" s="1" t="s">
        <v>729</v>
      </c>
      <c r="G217" s="16">
        <v>10.97</v>
      </c>
      <c r="H217" s="16" t="s">
        <v>1626</v>
      </c>
      <c r="M217" t="s">
        <v>1670</v>
      </c>
      <c r="AA217" t="str">
        <f t="shared" si="9"/>
        <v>Carboxymethyl cellulose Drops 0.5%</v>
      </c>
    </row>
    <row r="218" spans="2:27" x14ac:dyDescent="0.25">
      <c r="B218" s="1" t="s">
        <v>727</v>
      </c>
      <c r="C218" s="1" t="s">
        <v>728</v>
      </c>
      <c r="D218" s="1" t="s">
        <v>4</v>
      </c>
      <c r="E218" s="1" t="s">
        <v>649</v>
      </c>
      <c r="F218" s="5"/>
      <c r="G218" s="14">
        <v>14.79</v>
      </c>
      <c r="H218" s="14" t="s">
        <v>1626</v>
      </c>
      <c r="M218" t="s">
        <v>1670</v>
      </c>
      <c r="AA218" t="str">
        <f t="shared" si="9"/>
        <v>Carboxymethyl cellulose Drops 1%</v>
      </c>
    </row>
    <row r="219" spans="2:27" x14ac:dyDescent="0.25">
      <c r="B219" s="1" t="s">
        <v>77</v>
      </c>
      <c r="C219" s="1" t="s">
        <v>78</v>
      </c>
      <c r="D219" s="1" t="s">
        <v>4</v>
      </c>
      <c r="E219" s="1" t="s">
        <v>85</v>
      </c>
      <c r="F219" s="5"/>
      <c r="G219" s="10">
        <v>3.99</v>
      </c>
      <c r="H219" s="13" t="s">
        <v>1617</v>
      </c>
      <c r="I219" s="13" t="s">
        <v>1618</v>
      </c>
      <c r="M219" t="s">
        <v>735</v>
      </c>
      <c r="N219" t="s">
        <v>1651</v>
      </c>
      <c r="O219" t="s">
        <v>1653</v>
      </c>
      <c r="AA219" t="str">
        <f t="shared" si="9"/>
        <v>Cefadroxil Tablet 500 mg</v>
      </c>
    </row>
    <row r="220" spans="2:27" x14ac:dyDescent="0.25">
      <c r="B220" s="1" t="s">
        <v>77</v>
      </c>
      <c r="C220" s="1" t="s">
        <v>78</v>
      </c>
      <c r="D220" s="1" t="s">
        <v>4</v>
      </c>
      <c r="E220" s="1" t="s">
        <v>29</v>
      </c>
      <c r="M220" t="s">
        <v>735</v>
      </c>
      <c r="N220" t="s">
        <v>1651</v>
      </c>
      <c r="O220" t="s">
        <v>1653</v>
      </c>
      <c r="AA220" t="str">
        <f t="shared" si="9"/>
        <v>Cefadroxil Tablet 100 mg</v>
      </c>
    </row>
    <row r="221" spans="2:27" x14ac:dyDescent="0.25">
      <c r="B221" s="1"/>
      <c r="C221" s="1"/>
      <c r="D221" s="1"/>
      <c r="E221" s="1"/>
      <c r="J221" t="s">
        <v>530</v>
      </c>
      <c r="K221" t="str">
        <f t="shared" si="10"/>
        <v xml:space="preserve"> </v>
      </c>
      <c r="L221">
        <f t="shared" si="11"/>
        <v>0</v>
      </c>
      <c r="AA221" t="str">
        <f t="shared" si="9"/>
        <v xml:space="preserve"> </v>
      </c>
    </row>
    <row r="222" spans="2:27" x14ac:dyDescent="0.25">
      <c r="B222" s="2" t="s">
        <v>730</v>
      </c>
      <c r="C222" s="1"/>
      <c r="D222" s="1"/>
      <c r="E222" s="1"/>
      <c r="J222" t="s">
        <v>530</v>
      </c>
      <c r="K222" t="str">
        <f t="shared" si="10"/>
        <v xml:space="preserve"> </v>
      </c>
      <c r="L222" t="str">
        <f t="shared" si="11"/>
        <v>Section 5.4-Medicines used in Dementia</v>
      </c>
      <c r="AA222" t="str">
        <f t="shared" si="9"/>
        <v xml:space="preserve"> </v>
      </c>
    </row>
    <row r="223" spans="2:27" x14ac:dyDescent="0.25">
      <c r="B223" s="1" t="s">
        <v>77</v>
      </c>
      <c r="C223" s="1" t="s">
        <v>78</v>
      </c>
      <c r="D223" s="1" t="s">
        <v>4</v>
      </c>
      <c r="E223" s="1" t="s">
        <v>731</v>
      </c>
      <c r="G223" s="14">
        <v>0.61</v>
      </c>
      <c r="H223" s="1" t="s">
        <v>1622</v>
      </c>
      <c r="M223" t="s">
        <v>735</v>
      </c>
      <c r="N223" t="s">
        <v>1651</v>
      </c>
      <c r="O223" t="s">
        <v>1653</v>
      </c>
      <c r="AA223" t="str">
        <f t="shared" si="9"/>
        <v>Cefadroxil Oral liquid 125 mg/5 mL (p)</v>
      </c>
    </row>
    <row r="224" spans="2:27" x14ac:dyDescent="0.25">
      <c r="B224" s="1" t="s">
        <v>732</v>
      </c>
      <c r="C224" s="1" t="s">
        <v>733</v>
      </c>
      <c r="D224" s="1" t="s">
        <v>4</v>
      </c>
      <c r="E224" s="1" t="s">
        <v>606</v>
      </c>
      <c r="M224" t="s">
        <v>735</v>
      </c>
      <c r="N224" t="s">
        <v>1651</v>
      </c>
      <c r="O224" t="s">
        <v>1653</v>
      </c>
      <c r="AA224" t="str">
        <f t="shared" si="9"/>
        <v>Cefazolin Powder for Injection 1000 mg</v>
      </c>
    </row>
    <row r="225" spans="2:27" x14ac:dyDescent="0.25">
      <c r="B225" s="1"/>
      <c r="C225" s="1"/>
      <c r="D225" s="1"/>
      <c r="E225" s="1"/>
      <c r="J225" t="s">
        <v>530</v>
      </c>
      <c r="K225" t="str">
        <f t="shared" si="10"/>
        <v xml:space="preserve"> </v>
      </c>
      <c r="L225">
        <f t="shared" si="11"/>
        <v>0</v>
      </c>
      <c r="AA225" t="str">
        <f t="shared" si="9"/>
        <v xml:space="preserve"> </v>
      </c>
    </row>
    <row r="226" spans="2:27" x14ac:dyDescent="0.25">
      <c r="B226" s="2" t="s">
        <v>734</v>
      </c>
      <c r="C226" s="1"/>
      <c r="D226" s="1"/>
      <c r="E226" s="1"/>
      <c r="J226" t="s">
        <v>530</v>
      </c>
      <c r="K226" t="str">
        <f t="shared" si="10"/>
        <v xml:space="preserve"> </v>
      </c>
      <c r="L226" t="str">
        <f t="shared" si="11"/>
        <v>Section 6</v>
      </c>
      <c r="AA226" t="str">
        <f t="shared" si="9"/>
        <v xml:space="preserve"> </v>
      </c>
    </row>
    <row r="227" spans="2:27" x14ac:dyDescent="0.25">
      <c r="B227" s="2" t="s">
        <v>735</v>
      </c>
      <c r="C227" s="1"/>
      <c r="D227" s="1"/>
      <c r="E227" s="1"/>
      <c r="J227" t="s">
        <v>530</v>
      </c>
      <c r="K227" t="str">
        <f t="shared" si="10"/>
        <v xml:space="preserve"> </v>
      </c>
      <c r="L227" t="str">
        <f t="shared" si="11"/>
        <v>Anti-infective Medicines</v>
      </c>
      <c r="AA227" t="str">
        <f t="shared" si="9"/>
        <v xml:space="preserve"> </v>
      </c>
    </row>
    <row r="228" spans="2:27" x14ac:dyDescent="0.25">
      <c r="B228" s="2" t="s">
        <v>736</v>
      </c>
      <c r="C228" s="1"/>
      <c r="D228" s="1"/>
      <c r="E228" s="1"/>
      <c r="J228" t="s">
        <v>530</v>
      </c>
      <c r="K228" t="str">
        <f t="shared" si="10"/>
        <v xml:space="preserve"> </v>
      </c>
      <c r="L228" t="str">
        <f t="shared" si="11"/>
        <v>6.1-Anthelminthics</v>
      </c>
      <c r="N228" t="s">
        <v>1648</v>
      </c>
      <c r="AA228" t="str">
        <f t="shared" si="9"/>
        <v xml:space="preserve"> </v>
      </c>
    </row>
    <row r="229" spans="2:27" x14ac:dyDescent="0.25">
      <c r="B229" s="2" t="s">
        <v>737</v>
      </c>
      <c r="C229" s="1"/>
      <c r="D229" s="1"/>
      <c r="E229" s="1"/>
      <c r="J229" t="s">
        <v>530</v>
      </c>
      <c r="K229" t="str">
        <f t="shared" si="10"/>
        <v xml:space="preserve"> </v>
      </c>
      <c r="L229" t="str">
        <f t="shared" si="11"/>
        <v>6.1.1- Intestinal Anthelminthics</v>
      </c>
      <c r="M229" t="s">
        <v>735</v>
      </c>
      <c r="N229" t="s">
        <v>1647</v>
      </c>
      <c r="AA229" t="str">
        <f t="shared" si="9"/>
        <v xml:space="preserve"> </v>
      </c>
    </row>
    <row r="230" spans="2:27" x14ac:dyDescent="0.25">
      <c r="B230" s="1" t="s">
        <v>732</v>
      </c>
      <c r="C230" s="1" t="s">
        <v>733</v>
      </c>
      <c r="D230" s="1" t="s">
        <v>4</v>
      </c>
      <c r="E230" s="1" t="s">
        <v>205</v>
      </c>
      <c r="M230" t="s">
        <v>735</v>
      </c>
      <c r="N230" t="s">
        <v>1651</v>
      </c>
      <c r="O230" t="s">
        <v>1653</v>
      </c>
      <c r="AA230" t="str">
        <f t="shared" si="9"/>
        <v>Cefazolin Powder for Injection 500 mg</v>
      </c>
    </row>
    <row r="231" spans="2:27" x14ac:dyDescent="0.25">
      <c r="B231" s="1" t="s">
        <v>738</v>
      </c>
      <c r="C231" s="1" t="s">
        <v>739</v>
      </c>
      <c r="D231" s="1" t="s">
        <v>19</v>
      </c>
      <c r="E231" s="1" t="s">
        <v>114</v>
      </c>
      <c r="G231" s="14">
        <v>8.7200000000000006</v>
      </c>
      <c r="H231" s="14" t="s">
        <v>1624</v>
      </c>
      <c r="M231" t="s">
        <v>735</v>
      </c>
      <c r="N231" t="s">
        <v>1651</v>
      </c>
      <c r="O231" t="s">
        <v>1653</v>
      </c>
      <c r="AA231" t="str">
        <f t="shared" si="9"/>
        <v>Cefixime Tablet 200 mg</v>
      </c>
    </row>
    <row r="232" spans="2:27" x14ac:dyDescent="0.25">
      <c r="B232" s="1" t="s">
        <v>738</v>
      </c>
      <c r="C232" s="1" t="s">
        <v>739</v>
      </c>
      <c r="D232" s="1" t="s">
        <v>19</v>
      </c>
      <c r="E232" s="1" t="s">
        <v>511</v>
      </c>
      <c r="G232" s="10">
        <v>19.71</v>
      </c>
      <c r="H232" s="13" t="s">
        <v>1617</v>
      </c>
      <c r="I232" s="13" t="s">
        <v>1618</v>
      </c>
      <c r="M232" t="s">
        <v>735</v>
      </c>
      <c r="N232" t="s">
        <v>1651</v>
      </c>
      <c r="O232" t="s">
        <v>1653</v>
      </c>
      <c r="AA232" t="str">
        <f t="shared" si="9"/>
        <v>Cefixime Tablet 400 mg</v>
      </c>
    </row>
    <row r="233" spans="2:27" x14ac:dyDescent="0.25">
      <c r="B233" s="1" t="s">
        <v>738</v>
      </c>
      <c r="C233" s="1" t="s">
        <v>739</v>
      </c>
      <c r="D233" s="1" t="s">
        <v>19</v>
      </c>
      <c r="E233" s="1" t="s">
        <v>740</v>
      </c>
      <c r="G233" s="14">
        <v>1.45</v>
      </c>
      <c r="H233" s="14" t="s">
        <v>1626</v>
      </c>
      <c r="M233" t="s">
        <v>735</v>
      </c>
      <c r="N233" t="s">
        <v>1651</v>
      </c>
      <c r="O233" t="s">
        <v>1653</v>
      </c>
      <c r="AA233" t="str">
        <f t="shared" si="9"/>
        <v>Cefixime Oral liquid 50 mg/5 mL (p)</v>
      </c>
    </row>
    <row r="234" spans="2:27" x14ac:dyDescent="0.25">
      <c r="B234" s="1" t="s">
        <v>738</v>
      </c>
      <c r="C234" s="1" t="s">
        <v>739</v>
      </c>
      <c r="D234" s="1" t="s">
        <v>19</v>
      </c>
      <c r="E234" s="1" t="s">
        <v>721</v>
      </c>
      <c r="G234" s="14">
        <v>2.13</v>
      </c>
      <c r="H234" s="14" t="s">
        <v>1626</v>
      </c>
      <c r="M234" t="s">
        <v>735</v>
      </c>
      <c r="N234" t="s">
        <v>1651</v>
      </c>
      <c r="O234" t="s">
        <v>1653</v>
      </c>
      <c r="AA234" t="str">
        <f t="shared" si="9"/>
        <v>Cefixime Oral liquid 100 mg/5 mL (p)</v>
      </c>
    </row>
    <row r="235" spans="2:27" x14ac:dyDescent="0.25">
      <c r="B235" s="1"/>
      <c r="C235" s="1"/>
      <c r="D235" s="1"/>
      <c r="E235" s="1"/>
      <c r="J235" t="s">
        <v>530</v>
      </c>
      <c r="K235" t="str">
        <f t="shared" si="10"/>
        <v xml:space="preserve"> </v>
      </c>
      <c r="L235">
        <f t="shared" si="11"/>
        <v>0</v>
      </c>
      <c r="AA235" t="str">
        <f t="shared" si="9"/>
        <v xml:space="preserve"> </v>
      </c>
    </row>
    <row r="236" spans="2:27" x14ac:dyDescent="0.25">
      <c r="B236" s="2" t="s">
        <v>741</v>
      </c>
      <c r="C236" s="1"/>
      <c r="D236" s="1"/>
      <c r="E236" s="1"/>
      <c r="J236" t="s">
        <v>530</v>
      </c>
      <c r="K236" t="str">
        <f t="shared" si="10"/>
        <v xml:space="preserve"> </v>
      </c>
      <c r="L236" t="str">
        <f t="shared" si="11"/>
        <v>6.1.2    Antifilarial</v>
      </c>
      <c r="M236" t="s">
        <v>735</v>
      </c>
      <c r="N236" t="s">
        <v>1649</v>
      </c>
      <c r="AA236" t="str">
        <f t="shared" si="9"/>
        <v xml:space="preserve"> </v>
      </c>
    </row>
    <row r="237" spans="2:27" x14ac:dyDescent="0.25">
      <c r="B237" s="1" t="s">
        <v>742</v>
      </c>
      <c r="C237" s="1" t="s">
        <v>743</v>
      </c>
      <c r="D237" s="1" t="s">
        <v>19</v>
      </c>
      <c r="E237" s="1" t="s">
        <v>16</v>
      </c>
      <c r="G237" s="14">
        <v>15.8</v>
      </c>
      <c r="H237" s="14" t="s">
        <v>1624</v>
      </c>
      <c r="M237" t="s">
        <v>735</v>
      </c>
      <c r="N237" t="s">
        <v>1651</v>
      </c>
      <c r="O237" t="s">
        <v>1653</v>
      </c>
      <c r="AA237" t="str">
        <f t="shared" si="9"/>
        <v>Cefotaxime Powder for Injection 250 mg</v>
      </c>
    </row>
    <row r="238" spans="2:27" x14ac:dyDescent="0.25">
      <c r="B238" s="1" t="s">
        <v>742</v>
      </c>
      <c r="C238" s="1" t="s">
        <v>743</v>
      </c>
      <c r="D238" s="1" t="s">
        <v>19</v>
      </c>
      <c r="E238" s="1" t="s">
        <v>13</v>
      </c>
      <c r="G238" s="14">
        <v>21.74</v>
      </c>
      <c r="H238" s="14" t="s">
        <v>1624</v>
      </c>
      <c r="M238" t="s">
        <v>735</v>
      </c>
      <c r="N238" t="s">
        <v>1651</v>
      </c>
      <c r="O238" t="s">
        <v>1653</v>
      </c>
      <c r="AA238" t="str">
        <f t="shared" si="9"/>
        <v xml:space="preserve">Cefotaxime Powder for Injection 500 mg </v>
      </c>
    </row>
    <row r="239" spans="2:27" x14ac:dyDescent="0.25">
      <c r="B239" s="1" t="s">
        <v>742</v>
      </c>
      <c r="C239" s="1" t="s">
        <v>743</v>
      </c>
      <c r="D239" s="1" t="s">
        <v>19</v>
      </c>
      <c r="E239" s="1" t="s">
        <v>606</v>
      </c>
      <c r="G239" s="14">
        <v>35.64</v>
      </c>
      <c r="H239" s="14" t="s">
        <v>1624</v>
      </c>
      <c r="M239" t="s">
        <v>735</v>
      </c>
      <c r="N239" t="s">
        <v>1651</v>
      </c>
      <c r="O239" t="s">
        <v>1653</v>
      </c>
      <c r="AA239" t="str">
        <f t="shared" si="9"/>
        <v>Cefotaxime Powder for Injection 1000 mg</v>
      </c>
    </row>
    <row r="240" spans="2:27" x14ac:dyDescent="0.25">
      <c r="B240" s="1" t="s">
        <v>80</v>
      </c>
      <c r="C240" s="1" t="s">
        <v>81</v>
      </c>
      <c r="D240" s="1" t="s">
        <v>4</v>
      </c>
      <c r="E240" s="1" t="s">
        <v>82</v>
      </c>
      <c r="M240" t="s">
        <v>735</v>
      </c>
      <c r="N240" t="s">
        <v>1658</v>
      </c>
      <c r="O240" t="s">
        <v>1663</v>
      </c>
      <c r="AA240" t="str">
        <f t="shared" si="9"/>
        <v>Cefotaxime** Injection 1000 mg</v>
      </c>
    </row>
    <row r="241" spans="2:27" x14ac:dyDescent="0.25">
      <c r="B241" s="1" t="s">
        <v>744</v>
      </c>
      <c r="C241" s="1" t="s">
        <v>745</v>
      </c>
      <c r="D241" s="1" t="s">
        <v>19</v>
      </c>
      <c r="E241" s="1" t="s">
        <v>606</v>
      </c>
      <c r="G241" s="14">
        <v>202.47</v>
      </c>
      <c r="H241" s="14" t="s">
        <v>1624</v>
      </c>
      <c r="M241" t="s">
        <v>735</v>
      </c>
      <c r="N241" t="s">
        <v>1651</v>
      </c>
      <c r="O241" t="s">
        <v>1653</v>
      </c>
      <c r="AA241" t="str">
        <f t="shared" si="9"/>
        <v>Ceftazidime Powder for Injection 1000 mg</v>
      </c>
    </row>
    <row r="242" spans="2:27" x14ac:dyDescent="0.25">
      <c r="B242" s="1" t="s">
        <v>744</v>
      </c>
      <c r="C242" s="1" t="s">
        <v>745</v>
      </c>
      <c r="D242" s="1" t="s">
        <v>19</v>
      </c>
      <c r="E242" s="1" t="s">
        <v>16</v>
      </c>
      <c r="G242" s="14">
        <v>70.52</v>
      </c>
      <c r="H242" s="14" t="s">
        <v>1626</v>
      </c>
      <c r="M242" t="s">
        <v>735</v>
      </c>
      <c r="N242" t="s">
        <v>1651</v>
      </c>
      <c r="O242" t="s">
        <v>1653</v>
      </c>
      <c r="AA242" t="str">
        <f t="shared" si="9"/>
        <v>Ceftazidime Powder for Injection 250 mg</v>
      </c>
    </row>
    <row r="243" spans="2:27" x14ac:dyDescent="0.25">
      <c r="B243" s="1" t="s">
        <v>746</v>
      </c>
      <c r="C243" s="1" t="s">
        <v>747</v>
      </c>
      <c r="D243" s="1" t="s">
        <v>19</v>
      </c>
      <c r="E243" s="1" t="s">
        <v>16</v>
      </c>
      <c r="G243" s="14">
        <v>25.28</v>
      </c>
      <c r="H243" s="14" t="s">
        <v>1624</v>
      </c>
      <c r="M243" t="s">
        <v>735</v>
      </c>
      <c r="N243" t="s">
        <v>1651</v>
      </c>
      <c r="O243" t="s">
        <v>1653</v>
      </c>
      <c r="AA243" t="str">
        <f t="shared" si="9"/>
        <v>Ceftriaxone Powder for Injection 250 mg</v>
      </c>
    </row>
    <row r="244" spans="2:27" x14ac:dyDescent="0.25">
      <c r="B244" s="1" t="s">
        <v>746</v>
      </c>
      <c r="C244" s="1" t="s">
        <v>747</v>
      </c>
      <c r="D244" s="1" t="s">
        <v>19</v>
      </c>
      <c r="E244" s="1" t="s">
        <v>205</v>
      </c>
      <c r="G244" s="14">
        <v>44.84</v>
      </c>
      <c r="H244" s="14" t="s">
        <v>1624</v>
      </c>
      <c r="M244" t="s">
        <v>735</v>
      </c>
      <c r="N244" t="s">
        <v>1651</v>
      </c>
      <c r="O244" t="s">
        <v>1653</v>
      </c>
      <c r="AA244" t="str">
        <f t="shared" si="9"/>
        <v>Ceftriaxone Powder for Injection 500 mg</v>
      </c>
    </row>
    <row r="245" spans="2:27" x14ac:dyDescent="0.25">
      <c r="B245" s="1"/>
      <c r="C245" s="1"/>
      <c r="D245" s="1"/>
      <c r="E245" s="1"/>
      <c r="J245" t="s">
        <v>530</v>
      </c>
      <c r="K245" t="str">
        <f t="shared" si="10"/>
        <v xml:space="preserve"> </v>
      </c>
      <c r="L245">
        <f t="shared" si="11"/>
        <v>0</v>
      </c>
      <c r="AA245" t="str">
        <f t="shared" si="9"/>
        <v xml:space="preserve"> </v>
      </c>
    </row>
    <row r="246" spans="2:27" x14ac:dyDescent="0.25">
      <c r="B246" s="2" t="s">
        <v>748</v>
      </c>
      <c r="C246" s="1"/>
      <c r="D246" s="1"/>
      <c r="E246" s="1"/>
      <c r="J246" t="s">
        <v>530</v>
      </c>
      <c r="K246" t="str">
        <f t="shared" si="10"/>
        <v xml:space="preserve"> </v>
      </c>
      <c r="L246" t="str">
        <f t="shared" si="11"/>
        <v>6.1.3 - Anti-schistosomal and Anti-trematodal Medicine</v>
      </c>
      <c r="M246" t="s">
        <v>735</v>
      </c>
      <c r="N246" t="s">
        <v>1650</v>
      </c>
      <c r="AA246" t="str">
        <f t="shared" si="9"/>
        <v xml:space="preserve"> </v>
      </c>
    </row>
    <row r="247" spans="2:27" x14ac:dyDescent="0.25">
      <c r="B247" s="1" t="s">
        <v>746</v>
      </c>
      <c r="C247" s="1" t="s">
        <v>747</v>
      </c>
      <c r="D247" s="1" t="s">
        <v>19</v>
      </c>
      <c r="E247" s="1" t="s">
        <v>606</v>
      </c>
      <c r="G247" s="14">
        <v>55.64</v>
      </c>
      <c r="H247" s="14" t="s">
        <v>1624</v>
      </c>
      <c r="M247" t="s">
        <v>735</v>
      </c>
      <c r="N247" t="s">
        <v>1651</v>
      </c>
      <c r="O247" t="s">
        <v>1653</v>
      </c>
      <c r="AA247" t="str">
        <f t="shared" si="9"/>
        <v>Ceftriaxone Powder for Injection 1000 mg</v>
      </c>
    </row>
    <row r="248" spans="2:27" x14ac:dyDescent="0.25">
      <c r="B248" s="1"/>
      <c r="C248" s="1"/>
      <c r="D248" s="1"/>
      <c r="E248" s="1"/>
      <c r="J248" t="s">
        <v>530</v>
      </c>
      <c r="K248" t="str">
        <f t="shared" si="10"/>
        <v xml:space="preserve"> </v>
      </c>
      <c r="L248">
        <f t="shared" si="11"/>
        <v>0</v>
      </c>
      <c r="AA248" t="str">
        <f t="shared" si="9"/>
        <v xml:space="preserve"> </v>
      </c>
    </row>
    <row r="249" spans="2:27" x14ac:dyDescent="0.25">
      <c r="B249" s="2" t="s">
        <v>749</v>
      </c>
      <c r="C249" s="1"/>
      <c r="D249" s="1"/>
      <c r="E249" s="1"/>
      <c r="J249" t="s">
        <v>530</v>
      </c>
      <c r="K249" t="str">
        <f t="shared" si="10"/>
        <v xml:space="preserve"> </v>
      </c>
      <c r="L249" t="str">
        <f t="shared" si="11"/>
        <v>6.2-Antibacterials</v>
      </c>
      <c r="AA249" t="str">
        <f t="shared" si="9"/>
        <v xml:space="preserve"> </v>
      </c>
    </row>
    <row r="250" spans="2:27" x14ac:dyDescent="0.25">
      <c r="B250" s="2" t="s">
        <v>750</v>
      </c>
      <c r="C250" s="1"/>
      <c r="D250" s="1"/>
      <c r="E250" s="1"/>
      <c r="J250" t="s">
        <v>530</v>
      </c>
      <c r="K250" t="str">
        <f t="shared" si="10"/>
        <v xml:space="preserve"> </v>
      </c>
      <c r="L250" t="str">
        <f t="shared" si="11"/>
        <v>6.2.1    Beta-lactam Medicines</v>
      </c>
      <c r="AA250" t="str">
        <f t="shared" si="9"/>
        <v xml:space="preserve"> </v>
      </c>
    </row>
    <row r="251" spans="2:27" x14ac:dyDescent="0.25">
      <c r="B251" s="1" t="s">
        <v>746</v>
      </c>
      <c r="C251" s="1" t="s">
        <v>747</v>
      </c>
      <c r="D251" s="1" t="s">
        <v>19</v>
      </c>
      <c r="E251" s="1" t="s">
        <v>751</v>
      </c>
      <c r="G251" s="14">
        <v>123.18</v>
      </c>
      <c r="H251" s="14" t="s">
        <v>1624</v>
      </c>
      <c r="M251" t="s">
        <v>735</v>
      </c>
      <c r="N251" t="s">
        <v>1651</v>
      </c>
      <c r="O251" t="s">
        <v>1653</v>
      </c>
      <c r="AA251" t="str">
        <f t="shared" si="9"/>
        <v>Ceftriaxone Powder for Injection 2000 mg</v>
      </c>
    </row>
    <row r="252" spans="2:27" x14ac:dyDescent="0.25">
      <c r="B252" s="1" t="s">
        <v>83</v>
      </c>
      <c r="C252" s="1" t="s">
        <v>84</v>
      </c>
      <c r="D252" s="1" t="s">
        <v>4</v>
      </c>
      <c r="E252" s="1" t="s">
        <v>85</v>
      </c>
      <c r="M252" t="s">
        <v>735</v>
      </c>
      <c r="N252" t="s">
        <v>1651</v>
      </c>
      <c r="O252" t="s">
        <v>1653</v>
      </c>
      <c r="AA252" t="str">
        <f t="shared" si="9"/>
        <v>Cefuroxime Tablet 500 mg</v>
      </c>
    </row>
    <row r="253" spans="2:27" x14ac:dyDescent="0.25">
      <c r="B253" s="1" t="s">
        <v>83</v>
      </c>
      <c r="C253" s="1" t="s">
        <v>84</v>
      </c>
      <c r="D253" s="1" t="s">
        <v>4</v>
      </c>
      <c r="E253" s="1" t="s">
        <v>86</v>
      </c>
      <c r="G253" s="1">
        <v>4.71</v>
      </c>
      <c r="H253" s="13" t="s">
        <v>1616</v>
      </c>
      <c r="I253" s="13" t="s">
        <v>1618</v>
      </c>
      <c r="M253" t="s">
        <v>735</v>
      </c>
      <c r="N253" t="s">
        <v>1651</v>
      </c>
      <c r="O253" t="s">
        <v>1653</v>
      </c>
      <c r="AA253" t="str">
        <f t="shared" si="9"/>
        <v xml:space="preserve">Cefuroxime Oral liquid 125 mg/ 5 mL (p) </v>
      </c>
    </row>
    <row r="254" spans="2:27" x14ac:dyDescent="0.25">
      <c r="B254" s="1" t="s">
        <v>83</v>
      </c>
      <c r="C254" s="1" t="s">
        <v>84</v>
      </c>
      <c r="D254" s="1" t="s">
        <v>4</v>
      </c>
      <c r="E254" s="1" t="s">
        <v>87</v>
      </c>
      <c r="M254" t="s">
        <v>735</v>
      </c>
      <c r="N254" t="s">
        <v>1651</v>
      </c>
      <c r="O254" t="s">
        <v>1653</v>
      </c>
      <c r="AA254" t="str">
        <f t="shared" si="9"/>
        <v>Cefuroxime Injection 1500 mg</v>
      </c>
    </row>
    <row r="255" spans="2:27" x14ac:dyDescent="0.25">
      <c r="B255" s="1">
        <v>3.2</v>
      </c>
      <c r="C255" s="1" t="s">
        <v>752</v>
      </c>
      <c r="D255" s="1" t="s">
        <v>4</v>
      </c>
      <c r="E255" s="1" t="s">
        <v>753</v>
      </c>
      <c r="G255" s="14">
        <v>0.59</v>
      </c>
      <c r="H255" s="14" t="s">
        <v>1626</v>
      </c>
      <c r="M255" t="s">
        <v>598</v>
      </c>
      <c r="AA255" t="str">
        <f t="shared" si="9"/>
        <v>Cetirizine Oral liquid 5 mg/5 mL (p)</v>
      </c>
    </row>
    <row r="256" spans="2:27" x14ac:dyDescent="0.25">
      <c r="B256" s="1">
        <v>3.2</v>
      </c>
      <c r="C256" s="1" t="s">
        <v>752</v>
      </c>
      <c r="D256" s="1" t="s">
        <v>4</v>
      </c>
      <c r="E256" s="1" t="s">
        <v>220</v>
      </c>
      <c r="G256" s="14">
        <v>1.68</v>
      </c>
      <c r="H256" s="1" t="s">
        <v>1622</v>
      </c>
      <c r="M256" t="s">
        <v>598</v>
      </c>
      <c r="AA256" t="str">
        <f t="shared" si="9"/>
        <v>Cetirizine Tablet 10 mg</v>
      </c>
    </row>
    <row r="257" spans="2:27" x14ac:dyDescent="0.25">
      <c r="B257" s="1" t="s">
        <v>754</v>
      </c>
      <c r="C257" s="1" t="s">
        <v>755</v>
      </c>
      <c r="D257" s="1" t="s">
        <v>8</v>
      </c>
      <c r="E257" s="1" t="s">
        <v>381</v>
      </c>
      <c r="M257" t="s">
        <v>1668</v>
      </c>
      <c r="AA257" t="str">
        <f t="shared" si="9"/>
        <v>Chlorambucil Tablet 5 mg</v>
      </c>
    </row>
    <row r="258" spans="2:27" x14ac:dyDescent="0.25">
      <c r="B258" s="1" t="s">
        <v>754</v>
      </c>
      <c r="C258" s="1" t="s">
        <v>755</v>
      </c>
      <c r="D258" s="1" t="s">
        <v>8</v>
      </c>
      <c r="E258" s="1" t="s">
        <v>140</v>
      </c>
      <c r="M258" t="s">
        <v>1668</v>
      </c>
      <c r="AA258" t="str">
        <f t="shared" si="9"/>
        <v>Chlorambucil Tablet 2 mg</v>
      </c>
    </row>
    <row r="259" spans="2:27" x14ac:dyDescent="0.25">
      <c r="B259" s="1" t="s">
        <v>756</v>
      </c>
      <c r="C259" s="1" t="s">
        <v>757</v>
      </c>
      <c r="D259" s="1" t="s">
        <v>4</v>
      </c>
      <c r="E259" s="1" t="s">
        <v>758</v>
      </c>
      <c r="AA259" t="str">
        <f t="shared" si="9"/>
        <v>Chlorhexidine Solution 5% (Concentrate)</v>
      </c>
    </row>
    <row r="260" spans="2:27" x14ac:dyDescent="0.25">
      <c r="B260" s="1" t="s">
        <v>759</v>
      </c>
      <c r="C260" s="1" t="s">
        <v>760</v>
      </c>
      <c r="D260" s="1" t="s">
        <v>4</v>
      </c>
      <c r="E260" s="1" t="s">
        <v>761</v>
      </c>
      <c r="G260" s="14">
        <v>0.3</v>
      </c>
      <c r="H260" s="1" t="s">
        <v>1622</v>
      </c>
      <c r="M260" t="s">
        <v>735</v>
      </c>
      <c r="AA260" t="str">
        <f t="shared" si="9"/>
        <v>Chloroquine Oral liquid 50 mg/5 mL</v>
      </c>
    </row>
    <row r="261" spans="2:27" x14ac:dyDescent="0.25">
      <c r="B261" s="1" t="s">
        <v>759</v>
      </c>
      <c r="C261" s="1" t="s">
        <v>760</v>
      </c>
      <c r="D261" s="1" t="s">
        <v>4</v>
      </c>
      <c r="E261" s="1" t="s">
        <v>102</v>
      </c>
      <c r="G261" s="14">
        <v>1.04</v>
      </c>
      <c r="H261" s="1" t="s">
        <v>1622</v>
      </c>
      <c r="M261" t="s">
        <v>735</v>
      </c>
      <c r="AA261" t="str">
        <f t="shared" si="9"/>
        <v>Chloroquine Tablet 150 mg</v>
      </c>
    </row>
    <row r="262" spans="2:27" x14ac:dyDescent="0.25">
      <c r="B262" s="1">
        <v>26.4</v>
      </c>
      <c r="C262" s="1" t="s">
        <v>762</v>
      </c>
      <c r="D262" s="1" t="s">
        <v>4</v>
      </c>
      <c r="E262" s="1" t="s">
        <v>763</v>
      </c>
      <c r="G262" s="10">
        <v>3.84</v>
      </c>
      <c r="H262" s="13" t="s">
        <v>1617</v>
      </c>
      <c r="I262" s="13" t="s">
        <v>1618</v>
      </c>
      <c r="M262" t="s">
        <v>1676</v>
      </c>
      <c r="AA262" t="str">
        <f t="shared" si="9"/>
        <v xml:space="preserve">Cholecalciferol Solid oral dosage form 1000 IU </v>
      </c>
    </row>
    <row r="263" spans="2:27" x14ac:dyDescent="0.25">
      <c r="B263" s="1">
        <v>26.4</v>
      </c>
      <c r="C263" s="1" t="s">
        <v>762</v>
      </c>
      <c r="D263" s="1" t="s">
        <v>4</v>
      </c>
      <c r="E263" s="1" t="s">
        <v>764</v>
      </c>
      <c r="G263" s="14">
        <v>2.33</v>
      </c>
      <c r="H263" s="1" t="s">
        <v>1622</v>
      </c>
      <c r="M263" t="s">
        <v>1676</v>
      </c>
      <c r="AA263" t="str">
        <f t="shared" si="9"/>
        <v>Cholecalciferol Oral liquid 400 IU/mL</v>
      </c>
    </row>
    <row r="264" spans="2:27" x14ac:dyDescent="0.25">
      <c r="B264" s="1">
        <v>26.4</v>
      </c>
      <c r="C264" s="1" t="s">
        <v>762</v>
      </c>
      <c r="D264" s="1" t="s">
        <v>4</v>
      </c>
      <c r="E264" s="1" t="s">
        <v>765</v>
      </c>
      <c r="G264" s="14">
        <v>20.07</v>
      </c>
      <c r="H264" s="14" t="s">
        <v>1626</v>
      </c>
      <c r="M264" t="s">
        <v>1676</v>
      </c>
      <c r="AA264" t="str">
        <f t="shared" si="9"/>
        <v>Cholecalciferol Solid oral dosage form 60000 IU</v>
      </c>
    </row>
    <row r="265" spans="2:27" x14ac:dyDescent="0.25">
      <c r="B265" s="1" t="s">
        <v>766</v>
      </c>
      <c r="C265" s="1" t="s">
        <v>767</v>
      </c>
      <c r="D265" s="1" t="s">
        <v>4</v>
      </c>
      <c r="E265" s="1" t="s">
        <v>309</v>
      </c>
      <c r="G265" s="14">
        <v>1.96</v>
      </c>
      <c r="H265" s="14" t="s">
        <v>1624</v>
      </c>
      <c r="M265" t="s">
        <v>735</v>
      </c>
      <c r="N265" t="s">
        <v>1651</v>
      </c>
      <c r="O265" t="s">
        <v>1653</v>
      </c>
      <c r="AA265" t="str">
        <f t="shared" ref="AA265:AA328" si="12">C265&amp;" "&amp;E265</f>
        <v>Ciprofloxacin Tablet 250 mg</v>
      </c>
    </row>
    <row r="266" spans="2:27" x14ac:dyDescent="0.25">
      <c r="B266" s="1" t="s">
        <v>766</v>
      </c>
      <c r="C266" s="1" t="s">
        <v>767</v>
      </c>
      <c r="D266" s="1" t="s">
        <v>4</v>
      </c>
      <c r="E266" s="1" t="s">
        <v>85</v>
      </c>
      <c r="G266" s="14">
        <v>3.79</v>
      </c>
      <c r="H266" s="14" t="s">
        <v>1624</v>
      </c>
      <c r="M266" t="s">
        <v>735</v>
      </c>
      <c r="N266" t="s">
        <v>1651</v>
      </c>
      <c r="O266" t="s">
        <v>1653</v>
      </c>
      <c r="AA266" t="str">
        <f t="shared" si="12"/>
        <v>Ciprofloxacin Tablet 500 mg</v>
      </c>
    </row>
    <row r="267" spans="2:27" x14ac:dyDescent="0.25">
      <c r="B267" s="1" t="s">
        <v>766</v>
      </c>
      <c r="C267" s="1" t="s">
        <v>767</v>
      </c>
      <c r="D267" s="1" t="s">
        <v>4</v>
      </c>
      <c r="E267" s="1" t="s">
        <v>768</v>
      </c>
      <c r="M267" t="s">
        <v>735</v>
      </c>
      <c r="N267" t="s">
        <v>1651</v>
      </c>
      <c r="O267" t="s">
        <v>1653</v>
      </c>
      <c r="AA267" t="str">
        <f t="shared" si="12"/>
        <v xml:space="preserve">Ciprofloxacin Oral liquid 250 mg/ 5 mL (p) </v>
      </c>
    </row>
    <row r="268" spans="2:27" x14ac:dyDescent="0.25">
      <c r="B268" s="1" t="s">
        <v>766</v>
      </c>
      <c r="C268" s="1" t="s">
        <v>767</v>
      </c>
      <c r="D268" s="1" t="s">
        <v>4</v>
      </c>
      <c r="E268" s="1" t="s">
        <v>769</v>
      </c>
      <c r="G268" s="14">
        <v>0.18</v>
      </c>
      <c r="H268" s="1" t="s">
        <v>1622</v>
      </c>
      <c r="M268" t="s">
        <v>735</v>
      </c>
      <c r="N268" t="s">
        <v>1651</v>
      </c>
      <c r="O268" t="s">
        <v>1653</v>
      </c>
      <c r="AA268" t="str">
        <f t="shared" si="12"/>
        <v>Ciprofloxacin Injection 200 mg/ 100 mL</v>
      </c>
    </row>
    <row r="269" spans="2:27" x14ac:dyDescent="0.25">
      <c r="B269" s="1">
        <v>16.2</v>
      </c>
      <c r="C269" s="1" t="s">
        <v>767</v>
      </c>
      <c r="D269" s="1" t="s">
        <v>4</v>
      </c>
      <c r="E269" s="1" t="s">
        <v>770</v>
      </c>
      <c r="G269" s="14">
        <v>1.37</v>
      </c>
      <c r="H269" s="1" t="s">
        <v>1622</v>
      </c>
      <c r="M269" t="s">
        <v>1672</v>
      </c>
      <c r="AA269" t="str">
        <f t="shared" si="12"/>
        <v>Ciprofloxacin Drops 0.3 %</v>
      </c>
    </row>
    <row r="270" spans="2:27" x14ac:dyDescent="0.25">
      <c r="B270" s="1" t="s">
        <v>771</v>
      </c>
      <c r="C270" s="1" t="s">
        <v>767</v>
      </c>
      <c r="D270" s="1" t="s">
        <v>4</v>
      </c>
      <c r="E270" s="1" t="s">
        <v>772</v>
      </c>
      <c r="M270" t="s">
        <v>1670</v>
      </c>
      <c r="AA270" t="str">
        <f t="shared" si="12"/>
        <v>Ciprofloxacin Ointment 0.3%</v>
      </c>
    </row>
    <row r="271" spans="2:27" x14ac:dyDescent="0.25">
      <c r="B271" s="1" t="s">
        <v>771</v>
      </c>
      <c r="C271" s="1" t="s">
        <v>767</v>
      </c>
      <c r="D271" s="1" t="s">
        <v>4</v>
      </c>
      <c r="E271" s="1" t="s">
        <v>208</v>
      </c>
      <c r="G271" s="14">
        <v>1.37</v>
      </c>
      <c r="H271" s="1" t="s">
        <v>1622</v>
      </c>
      <c r="M271" t="s">
        <v>1670</v>
      </c>
      <c r="AA271" t="str">
        <f t="shared" si="12"/>
        <v>Ciprofloxacin Drops 0.3%</v>
      </c>
    </row>
    <row r="272" spans="2:27" x14ac:dyDescent="0.25">
      <c r="B272" s="1" t="s">
        <v>773</v>
      </c>
      <c r="C272" s="1" t="s">
        <v>774</v>
      </c>
      <c r="D272" s="1" t="s">
        <v>8</v>
      </c>
      <c r="E272" s="1" t="s">
        <v>775</v>
      </c>
      <c r="AA272" t="str">
        <f t="shared" si="12"/>
        <v>Cisplatin Injection 1mg/mL</v>
      </c>
    </row>
    <row r="273" spans="2:27" x14ac:dyDescent="0.25">
      <c r="B273" s="1" t="s">
        <v>776</v>
      </c>
      <c r="C273" s="1" t="s">
        <v>95</v>
      </c>
      <c r="D273" s="1" t="s">
        <v>19</v>
      </c>
      <c r="E273" s="1" t="s">
        <v>309</v>
      </c>
      <c r="G273" s="10">
        <v>21.04</v>
      </c>
      <c r="H273" s="13" t="s">
        <v>1617</v>
      </c>
      <c r="I273" s="13" t="s">
        <v>1618</v>
      </c>
      <c r="M273" t="s">
        <v>735</v>
      </c>
      <c r="N273" t="s">
        <v>1651</v>
      </c>
      <c r="O273" t="s">
        <v>1653</v>
      </c>
      <c r="AA273" t="str">
        <f t="shared" si="12"/>
        <v>Clarithromycin Tablet 250 mg</v>
      </c>
    </row>
    <row r="274" spans="2:27" x14ac:dyDescent="0.25">
      <c r="B274" s="1" t="s">
        <v>776</v>
      </c>
      <c r="C274" s="1" t="s">
        <v>95</v>
      </c>
      <c r="D274" s="1" t="s">
        <v>19</v>
      </c>
      <c r="E274" s="1" t="s">
        <v>85</v>
      </c>
      <c r="G274" s="10">
        <v>34.61</v>
      </c>
      <c r="H274" s="13" t="s">
        <v>1617</v>
      </c>
      <c r="I274" s="13" t="s">
        <v>1618</v>
      </c>
      <c r="M274" t="s">
        <v>735</v>
      </c>
      <c r="N274" t="s">
        <v>1651</v>
      </c>
      <c r="O274" t="s">
        <v>1653</v>
      </c>
      <c r="AA274" t="str">
        <f t="shared" si="12"/>
        <v>Clarithromycin Tablet 500 mg</v>
      </c>
    </row>
    <row r="275" spans="2:27" x14ac:dyDescent="0.25">
      <c r="B275" s="1" t="s">
        <v>776</v>
      </c>
      <c r="C275" s="1" t="s">
        <v>95</v>
      </c>
      <c r="D275" s="1" t="s">
        <v>19</v>
      </c>
      <c r="E275" s="1" t="s">
        <v>731</v>
      </c>
      <c r="G275" s="14">
        <v>4.1100000000000003</v>
      </c>
      <c r="H275" s="1" t="s">
        <v>1622</v>
      </c>
      <c r="M275" t="s">
        <v>735</v>
      </c>
      <c r="N275" t="s">
        <v>1651</v>
      </c>
      <c r="O275" t="s">
        <v>1653</v>
      </c>
      <c r="AA275" t="str">
        <f t="shared" si="12"/>
        <v>Clarithromycin Oral liquid 125 mg/5 mL (p)</v>
      </c>
    </row>
    <row r="276" spans="2:27" x14ac:dyDescent="0.25">
      <c r="B276" s="1" t="s">
        <v>94</v>
      </c>
      <c r="C276" s="1" t="s">
        <v>95</v>
      </c>
      <c r="D276" s="1" t="s">
        <v>19</v>
      </c>
      <c r="E276" s="1" t="s">
        <v>85</v>
      </c>
      <c r="G276" s="10">
        <v>34.61</v>
      </c>
      <c r="H276" s="13" t="s">
        <v>1617</v>
      </c>
      <c r="I276" s="13" t="s">
        <v>1618</v>
      </c>
      <c r="M276" t="s">
        <v>735</v>
      </c>
      <c r="N276" t="s">
        <v>1655</v>
      </c>
      <c r="AA276" t="str">
        <f t="shared" si="12"/>
        <v>Clarithromycin Tablet 500 mg</v>
      </c>
    </row>
    <row r="277" spans="2:27" x14ac:dyDescent="0.25">
      <c r="B277" s="1" t="s">
        <v>94</v>
      </c>
      <c r="C277" s="1" t="s">
        <v>95</v>
      </c>
      <c r="D277" s="1" t="s">
        <v>19</v>
      </c>
      <c r="E277" s="1" t="s">
        <v>96</v>
      </c>
      <c r="M277" t="s">
        <v>735</v>
      </c>
      <c r="N277" t="s">
        <v>1655</v>
      </c>
      <c r="AA277" t="str">
        <f t="shared" si="12"/>
        <v>Clarithromycin Tablet 750 mg</v>
      </c>
    </row>
    <row r="278" spans="2:27" x14ac:dyDescent="0.25">
      <c r="B278" s="1" t="s">
        <v>94</v>
      </c>
      <c r="C278" s="1" t="s">
        <v>95</v>
      </c>
      <c r="D278" s="1" t="s">
        <v>19</v>
      </c>
      <c r="E278" s="1" t="s">
        <v>309</v>
      </c>
      <c r="G278" s="10">
        <v>21.04</v>
      </c>
      <c r="H278" s="13" t="s">
        <v>1617</v>
      </c>
      <c r="I278" s="13" t="s">
        <v>1618</v>
      </c>
      <c r="M278" t="s">
        <v>735</v>
      </c>
      <c r="N278" t="s">
        <v>1655</v>
      </c>
      <c r="AA278" t="str">
        <f t="shared" si="12"/>
        <v>Clarithromycin Tablet 250 mg</v>
      </c>
    </row>
    <row r="279" spans="2:27" x14ac:dyDescent="0.25">
      <c r="B279" s="1" t="s">
        <v>97</v>
      </c>
      <c r="C279" s="1" t="s">
        <v>98</v>
      </c>
      <c r="D279" s="1" t="s">
        <v>4</v>
      </c>
      <c r="E279" s="1" t="s">
        <v>99</v>
      </c>
      <c r="M279" t="s">
        <v>735</v>
      </c>
      <c r="N279" t="s">
        <v>1651</v>
      </c>
      <c r="O279" t="s">
        <v>1653</v>
      </c>
      <c r="AA279" t="str">
        <f t="shared" si="12"/>
        <v>Clindamycin Injection 150 mg /mL</v>
      </c>
    </row>
    <row r="280" spans="2:27" x14ac:dyDescent="0.25">
      <c r="B280" s="1" t="s">
        <v>97</v>
      </c>
      <c r="C280" s="1" t="s">
        <v>98</v>
      </c>
      <c r="D280" s="1" t="s">
        <v>4</v>
      </c>
      <c r="E280" s="1" t="s">
        <v>777</v>
      </c>
      <c r="G280" s="10">
        <v>25.3</v>
      </c>
      <c r="H280" s="13" t="s">
        <v>1617</v>
      </c>
      <c r="I280" s="13" t="s">
        <v>1618</v>
      </c>
      <c r="M280" t="s">
        <v>735</v>
      </c>
      <c r="N280" t="s">
        <v>1651</v>
      </c>
      <c r="O280" t="s">
        <v>1653</v>
      </c>
      <c r="AA280" t="str">
        <f t="shared" si="12"/>
        <v>Clindamycin Capsule 300 mg</v>
      </c>
    </row>
    <row r="281" spans="2:27" x14ac:dyDescent="0.25">
      <c r="B281" s="1" t="s">
        <v>97</v>
      </c>
      <c r="C281" s="1" t="s">
        <v>98</v>
      </c>
      <c r="D281" s="1" t="s">
        <v>4</v>
      </c>
      <c r="E281" s="1" t="s">
        <v>384</v>
      </c>
      <c r="G281" s="10">
        <v>14.59</v>
      </c>
      <c r="H281" s="13" t="s">
        <v>1617</v>
      </c>
      <c r="I281" s="13" t="s">
        <v>1618</v>
      </c>
      <c r="M281" t="s">
        <v>735</v>
      </c>
      <c r="N281" t="s">
        <v>1651</v>
      </c>
      <c r="O281" t="s">
        <v>1653</v>
      </c>
      <c r="AA281" t="str">
        <f t="shared" si="12"/>
        <v>Clindamycin Capsule 150 mg</v>
      </c>
    </row>
    <row r="282" spans="2:27" x14ac:dyDescent="0.25">
      <c r="B282" s="1" t="s">
        <v>778</v>
      </c>
      <c r="C282" s="1" t="s">
        <v>98</v>
      </c>
      <c r="D282" s="1" t="s">
        <v>4</v>
      </c>
      <c r="E282" s="1" t="s">
        <v>777</v>
      </c>
      <c r="G282" s="10">
        <v>25.3</v>
      </c>
      <c r="H282" s="13" t="s">
        <v>1617</v>
      </c>
      <c r="I282" s="13" t="s">
        <v>1618</v>
      </c>
      <c r="M282" t="s">
        <v>735</v>
      </c>
      <c r="AA282" t="str">
        <f t="shared" si="12"/>
        <v>Clindamycin Capsule 300 mg</v>
      </c>
    </row>
    <row r="283" spans="2:27" x14ac:dyDescent="0.25">
      <c r="B283" s="1" t="s">
        <v>778</v>
      </c>
      <c r="C283" s="1" t="s">
        <v>98</v>
      </c>
      <c r="D283" s="1" t="s">
        <v>4</v>
      </c>
      <c r="E283" s="1" t="s">
        <v>384</v>
      </c>
      <c r="G283" s="10">
        <v>14.59</v>
      </c>
      <c r="H283" s="13" t="s">
        <v>1617</v>
      </c>
      <c r="I283" s="13" t="s">
        <v>1618</v>
      </c>
      <c r="M283" t="s">
        <v>735</v>
      </c>
      <c r="AA283" t="str">
        <f t="shared" si="12"/>
        <v>Clindamycin Capsule 150 mg</v>
      </c>
    </row>
    <row r="284" spans="2:27" x14ac:dyDescent="0.25">
      <c r="B284" s="1" t="s">
        <v>779</v>
      </c>
      <c r="C284" s="1" t="s">
        <v>98</v>
      </c>
      <c r="D284" s="1" t="s">
        <v>4</v>
      </c>
      <c r="E284" s="1" t="s">
        <v>384</v>
      </c>
      <c r="G284" s="10">
        <v>14.59</v>
      </c>
      <c r="H284" s="13" t="s">
        <v>1617</v>
      </c>
      <c r="I284" s="13" t="s">
        <v>1618</v>
      </c>
      <c r="M284" t="s">
        <v>735</v>
      </c>
      <c r="AA284" t="str">
        <f t="shared" si="12"/>
        <v>Clindamycin Capsule 150 mg</v>
      </c>
    </row>
    <row r="285" spans="2:27" x14ac:dyDescent="0.25">
      <c r="B285" s="1" t="s">
        <v>779</v>
      </c>
      <c r="C285" s="1" t="s">
        <v>98</v>
      </c>
      <c r="D285" s="1" t="s">
        <v>4</v>
      </c>
      <c r="E285" s="1" t="s">
        <v>777</v>
      </c>
      <c r="G285" s="10">
        <v>25.3</v>
      </c>
      <c r="H285" s="13" t="s">
        <v>1617</v>
      </c>
      <c r="I285" s="13" t="s">
        <v>1618</v>
      </c>
      <c r="M285" t="s">
        <v>735</v>
      </c>
      <c r="AA285" t="str">
        <f t="shared" si="12"/>
        <v>Clindamycin Capsule 300 mg</v>
      </c>
    </row>
    <row r="286" spans="2:27" x14ac:dyDescent="0.25">
      <c r="B286" s="1" t="s">
        <v>780</v>
      </c>
      <c r="C286" s="1" t="s">
        <v>781</v>
      </c>
      <c r="D286" s="1" t="s">
        <v>4</v>
      </c>
      <c r="E286" s="1" t="s">
        <v>278</v>
      </c>
      <c r="G286" s="14">
        <v>16.920000000000002</v>
      </c>
      <c r="H286" s="1" t="s">
        <v>1622</v>
      </c>
      <c r="M286" t="s">
        <v>735</v>
      </c>
      <c r="N286" t="s">
        <v>1658</v>
      </c>
      <c r="O286" t="s">
        <v>1663</v>
      </c>
      <c r="AA286" t="str">
        <f t="shared" si="12"/>
        <v>Clindamycin*** Tablet 300 mg</v>
      </c>
    </row>
    <row r="287" spans="2:27" x14ac:dyDescent="0.25">
      <c r="B287" s="1" t="s">
        <v>782</v>
      </c>
      <c r="C287" s="1" t="s">
        <v>783</v>
      </c>
      <c r="D287" s="1" t="s">
        <v>19</v>
      </c>
      <c r="E287" s="1" t="s">
        <v>220</v>
      </c>
      <c r="G287" s="10">
        <v>8.5500000000000007</v>
      </c>
      <c r="H287" s="13" t="s">
        <v>1617</v>
      </c>
      <c r="I287" s="13" t="s">
        <v>1618</v>
      </c>
      <c r="M287" t="s">
        <v>651</v>
      </c>
      <c r="N287" t="s">
        <v>1642</v>
      </c>
      <c r="AA287" t="str">
        <f t="shared" si="12"/>
        <v>Clobazam Tablet 10 mg</v>
      </c>
    </row>
    <row r="288" spans="2:27" x14ac:dyDescent="0.25">
      <c r="B288" s="1" t="s">
        <v>782</v>
      </c>
      <c r="C288" s="1" t="s">
        <v>783</v>
      </c>
      <c r="D288" s="1" t="s">
        <v>19</v>
      </c>
      <c r="E288" s="1" t="s">
        <v>381</v>
      </c>
      <c r="G288" s="10">
        <v>4.9400000000000004</v>
      </c>
      <c r="H288" s="13" t="s">
        <v>1617</v>
      </c>
      <c r="I288" s="13" t="s">
        <v>1618</v>
      </c>
      <c r="M288" t="s">
        <v>651</v>
      </c>
      <c r="N288" t="s">
        <v>1642</v>
      </c>
      <c r="AA288" t="str">
        <f t="shared" si="12"/>
        <v>Clobazam Tablet 5 mg</v>
      </c>
    </row>
    <row r="289" spans="2:27" x14ac:dyDescent="0.25">
      <c r="B289" s="1" t="s">
        <v>784</v>
      </c>
      <c r="C289" s="1" t="s">
        <v>785</v>
      </c>
      <c r="D289" s="1" t="s">
        <v>4</v>
      </c>
      <c r="E289" s="1" t="s">
        <v>240</v>
      </c>
      <c r="M289" t="s">
        <v>735</v>
      </c>
      <c r="N289" t="s">
        <v>1654</v>
      </c>
      <c r="AA289" t="str">
        <f t="shared" si="12"/>
        <v>Clofazimine Capsule 100 mg</v>
      </c>
    </row>
    <row r="290" spans="2:27" x14ac:dyDescent="0.25">
      <c r="B290" s="1" t="s">
        <v>784</v>
      </c>
      <c r="C290" s="1" t="s">
        <v>785</v>
      </c>
      <c r="D290" s="1" t="s">
        <v>4</v>
      </c>
      <c r="E290" s="1" t="s">
        <v>371</v>
      </c>
      <c r="M290" t="s">
        <v>735</v>
      </c>
      <c r="N290" t="s">
        <v>1654</v>
      </c>
      <c r="AA290" t="str">
        <f t="shared" si="12"/>
        <v>Clofazimine Capsule 50 mg</v>
      </c>
    </row>
    <row r="291" spans="2:27" x14ac:dyDescent="0.25">
      <c r="B291" s="1" t="s">
        <v>786</v>
      </c>
      <c r="C291" s="1" t="s">
        <v>785</v>
      </c>
      <c r="D291" s="1" t="s">
        <v>19</v>
      </c>
      <c r="E291" s="1" t="s">
        <v>240</v>
      </c>
      <c r="M291" t="s">
        <v>735</v>
      </c>
      <c r="N291" t="s">
        <v>1655</v>
      </c>
      <c r="AA291" t="str">
        <f t="shared" si="12"/>
        <v>Clofazimine Capsule 100 mg</v>
      </c>
    </row>
    <row r="292" spans="2:27" x14ac:dyDescent="0.25">
      <c r="B292" s="1" t="s">
        <v>786</v>
      </c>
      <c r="C292" s="1" t="s">
        <v>785</v>
      </c>
      <c r="D292" s="1" t="s">
        <v>19</v>
      </c>
      <c r="E292" s="1" t="s">
        <v>371</v>
      </c>
      <c r="M292" t="s">
        <v>735</v>
      </c>
      <c r="N292" t="s">
        <v>1655</v>
      </c>
      <c r="AA292" t="str">
        <f t="shared" si="12"/>
        <v>Clofazimine Capsule 50 mg</v>
      </c>
    </row>
    <row r="293" spans="2:27" x14ac:dyDescent="0.25">
      <c r="B293" s="1" t="s">
        <v>787</v>
      </c>
      <c r="C293" s="1" t="s">
        <v>788</v>
      </c>
      <c r="D293" s="1" t="s">
        <v>8</v>
      </c>
      <c r="E293" s="1" t="s">
        <v>28</v>
      </c>
      <c r="G293" s="14">
        <v>7.88</v>
      </c>
      <c r="H293" s="1" t="s">
        <v>1622</v>
      </c>
      <c r="M293" t="s">
        <v>1675</v>
      </c>
      <c r="AA293" t="str">
        <f t="shared" si="12"/>
        <v>Clomiphene citrate Tablet 50 mg</v>
      </c>
    </row>
    <row r="294" spans="2:27" x14ac:dyDescent="0.25">
      <c r="B294" s="1" t="s">
        <v>787</v>
      </c>
      <c r="C294" s="1" t="s">
        <v>788</v>
      </c>
      <c r="D294" s="1" t="s">
        <v>8</v>
      </c>
      <c r="E294" s="1" t="s">
        <v>29</v>
      </c>
      <c r="G294" s="14">
        <v>12.44</v>
      </c>
      <c r="H294" s="1" t="s">
        <v>1622</v>
      </c>
      <c r="M294" t="s">
        <v>1675</v>
      </c>
      <c r="AA294" t="str">
        <f t="shared" si="12"/>
        <v>Clomiphene citrate Tablet 100 mg</v>
      </c>
    </row>
    <row r="295" spans="2:27" x14ac:dyDescent="0.25">
      <c r="B295" s="1" t="s">
        <v>789</v>
      </c>
      <c r="C295" s="1" t="s">
        <v>790</v>
      </c>
      <c r="D295" s="1" t="s">
        <v>4</v>
      </c>
      <c r="E295" s="1" t="s">
        <v>117</v>
      </c>
      <c r="M295" t="s">
        <v>1669</v>
      </c>
      <c r="AA295" t="str">
        <f t="shared" si="12"/>
        <v>Clomipramine Capsule 10 mg</v>
      </c>
    </row>
    <row r="296" spans="2:27" x14ac:dyDescent="0.25">
      <c r="B296" s="1" t="s">
        <v>789</v>
      </c>
      <c r="C296" s="1" t="s">
        <v>790</v>
      </c>
      <c r="D296" s="1" t="s">
        <v>4</v>
      </c>
      <c r="E296" s="1" t="s">
        <v>266</v>
      </c>
      <c r="M296" t="s">
        <v>1669</v>
      </c>
      <c r="AA296" t="str">
        <f t="shared" si="12"/>
        <v>Clomipramine Capsule 25 mg</v>
      </c>
    </row>
    <row r="297" spans="2:27" x14ac:dyDescent="0.25">
      <c r="B297" s="1"/>
      <c r="C297" s="1"/>
      <c r="D297" s="1"/>
      <c r="E297" s="1"/>
      <c r="J297" t="s">
        <v>530</v>
      </c>
      <c r="K297" t="str">
        <f t="shared" ref="K297:K298" si="13">C297&amp;" "&amp;E297</f>
        <v xml:space="preserve"> </v>
      </c>
      <c r="L297">
        <f t="shared" ref="L297:L298" si="14">B297</f>
        <v>0</v>
      </c>
      <c r="AA297" t="str">
        <f t="shared" si="12"/>
        <v xml:space="preserve"> </v>
      </c>
    </row>
    <row r="298" spans="2:27" x14ac:dyDescent="0.25">
      <c r="B298" s="2" t="s">
        <v>791</v>
      </c>
      <c r="C298" s="1"/>
      <c r="D298" s="1"/>
      <c r="E298" s="1"/>
      <c r="J298" t="s">
        <v>530</v>
      </c>
      <c r="K298" t="str">
        <f t="shared" si="13"/>
        <v xml:space="preserve"> </v>
      </c>
      <c r="L298" t="str">
        <f t="shared" si="14"/>
        <v>6.2.2 - Other Antibacterials</v>
      </c>
      <c r="AA298" t="str">
        <f t="shared" si="12"/>
        <v xml:space="preserve"> </v>
      </c>
    </row>
    <row r="299" spans="2:27" x14ac:dyDescent="0.25">
      <c r="B299" s="1" t="s">
        <v>789</v>
      </c>
      <c r="C299" s="1" t="s">
        <v>790</v>
      </c>
      <c r="D299" s="1" t="s">
        <v>4</v>
      </c>
      <c r="E299" s="1" t="s">
        <v>792</v>
      </c>
      <c r="M299" t="s">
        <v>1669</v>
      </c>
      <c r="AA299" t="str">
        <f t="shared" si="12"/>
        <v>Clomipramine Capsule 75 mg</v>
      </c>
    </row>
    <row r="300" spans="2:27" x14ac:dyDescent="0.25">
      <c r="B300" s="1" t="s">
        <v>793</v>
      </c>
      <c r="C300" s="1" t="s">
        <v>794</v>
      </c>
      <c r="D300" s="1" t="s">
        <v>4</v>
      </c>
      <c r="E300" s="1" t="s">
        <v>795</v>
      </c>
      <c r="G300" s="14">
        <v>1.8</v>
      </c>
      <c r="H300" s="14" t="s">
        <v>1624</v>
      </c>
      <c r="M300" t="s">
        <v>1669</v>
      </c>
      <c r="AA300" t="str">
        <f t="shared" si="12"/>
        <v>Clonazepam Tablet 0.25 mg</v>
      </c>
    </row>
    <row r="301" spans="2:27" x14ac:dyDescent="0.25">
      <c r="B301" s="1" t="s">
        <v>793</v>
      </c>
      <c r="C301" s="1" t="s">
        <v>794</v>
      </c>
      <c r="D301" s="1" t="s">
        <v>4</v>
      </c>
      <c r="E301" s="1" t="s">
        <v>139</v>
      </c>
      <c r="G301" s="14">
        <v>3.08</v>
      </c>
      <c r="H301" s="14" t="s">
        <v>1624</v>
      </c>
      <c r="M301" t="s">
        <v>1669</v>
      </c>
      <c r="AA301" t="str">
        <f t="shared" si="12"/>
        <v>Clonazepam Tablet 0.5 mg</v>
      </c>
    </row>
    <row r="302" spans="2:27" x14ac:dyDescent="0.25">
      <c r="B302" s="1" t="s">
        <v>793</v>
      </c>
      <c r="C302" s="1" t="s">
        <v>794</v>
      </c>
      <c r="D302" s="1" t="s">
        <v>4</v>
      </c>
      <c r="E302" s="1" t="s">
        <v>196</v>
      </c>
      <c r="G302" s="14">
        <v>4.25</v>
      </c>
      <c r="H302" s="14" t="s">
        <v>1624</v>
      </c>
      <c r="M302" t="s">
        <v>1669</v>
      </c>
      <c r="AA302" t="str">
        <f t="shared" si="12"/>
        <v>Clonazepam Tablet 1 mg</v>
      </c>
    </row>
    <row r="303" spans="2:27" x14ac:dyDescent="0.25">
      <c r="B303" s="1" t="s">
        <v>100</v>
      </c>
      <c r="C303" s="1" t="s">
        <v>101</v>
      </c>
      <c r="D303" s="1" t="s">
        <v>4</v>
      </c>
      <c r="E303" s="1" t="s">
        <v>576</v>
      </c>
      <c r="G303" s="14">
        <v>5.94</v>
      </c>
      <c r="H303" s="14" t="s">
        <v>1624</v>
      </c>
      <c r="M303" t="s">
        <v>1667</v>
      </c>
      <c r="AA303" t="str">
        <f t="shared" si="12"/>
        <v>Clopidogrel Tablet 75 mg</v>
      </c>
    </row>
    <row r="304" spans="2:27" x14ac:dyDescent="0.25">
      <c r="B304" s="1" t="s">
        <v>100</v>
      </c>
      <c r="C304" s="1" t="s">
        <v>101</v>
      </c>
      <c r="D304" s="1" t="s">
        <v>4</v>
      </c>
      <c r="E304" s="1" t="s">
        <v>102</v>
      </c>
      <c r="G304" s="14">
        <v>18.27</v>
      </c>
      <c r="H304" s="14" t="s">
        <v>1619</v>
      </c>
      <c r="M304" t="s">
        <v>1667</v>
      </c>
      <c r="AA304" t="str">
        <f t="shared" si="12"/>
        <v>Clopidogrel Tablet 150 mg</v>
      </c>
    </row>
    <row r="305" spans="2:27" x14ac:dyDescent="0.25">
      <c r="B305" s="1" t="s">
        <v>796</v>
      </c>
      <c r="C305" s="1" t="s">
        <v>797</v>
      </c>
      <c r="D305" s="1" t="s">
        <v>4</v>
      </c>
      <c r="E305" s="1" t="s">
        <v>798</v>
      </c>
      <c r="M305" t="s">
        <v>735</v>
      </c>
      <c r="N305" t="s">
        <v>1656</v>
      </c>
      <c r="AA305" t="str">
        <f t="shared" si="12"/>
        <v>Clotrimazole Pessary 100 mg</v>
      </c>
    </row>
    <row r="306" spans="2:27" x14ac:dyDescent="0.25">
      <c r="B306" s="1" t="s">
        <v>799</v>
      </c>
      <c r="C306" s="1" t="s">
        <v>797</v>
      </c>
      <c r="D306" s="1" t="s">
        <v>4</v>
      </c>
      <c r="E306" s="1" t="s">
        <v>800</v>
      </c>
      <c r="M306" t="s">
        <v>1671</v>
      </c>
      <c r="AA306" t="str">
        <f t="shared" si="12"/>
        <v>Clotrimazole Lotion 1 %</v>
      </c>
    </row>
    <row r="307" spans="2:27" x14ac:dyDescent="0.25">
      <c r="B307" s="1" t="s">
        <v>799</v>
      </c>
      <c r="C307" s="1" t="s">
        <v>797</v>
      </c>
      <c r="D307" s="1" t="s">
        <v>4</v>
      </c>
      <c r="E307" s="1" t="s">
        <v>199</v>
      </c>
      <c r="M307" t="s">
        <v>1671</v>
      </c>
      <c r="AA307" t="str">
        <f t="shared" si="12"/>
        <v>Clotrimazole Cream 1 %</v>
      </c>
    </row>
    <row r="308" spans="2:27" x14ac:dyDescent="0.25">
      <c r="B308" s="1">
        <v>16.3</v>
      </c>
      <c r="C308" s="1" t="s">
        <v>797</v>
      </c>
      <c r="D308" s="1" t="s">
        <v>4</v>
      </c>
      <c r="E308" s="1" t="s">
        <v>801</v>
      </c>
      <c r="M308" t="s">
        <v>1672</v>
      </c>
      <c r="AA308" t="str">
        <f t="shared" si="12"/>
        <v>Clotrimazole Drops 1 %</v>
      </c>
    </row>
    <row r="309" spans="2:27" x14ac:dyDescent="0.25">
      <c r="B309" s="1" t="s">
        <v>103</v>
      </c>
      <c r="C309" s="1" t="s">
        <v>104</v>
      </c>
      <c r="D309" s="1" t="s">
        <v>4</v>
      </c>
      <c r="E309" s="1" t="s">
        <v>105</v>
      </c>
      <c r="M309" t="s">
        <v>735</v>
      </c>
      <c r="N309" t="s">
        <v>1658</v>
      </c>
      <c r="O309" t="s">
        <v>1663</v>
      </c>
      <c r="AA309" t="str">
        <f t="shared" si="12"/>
        <v>Clotrimazole* Ointment 1 %</v>
      </c>
    </row>
    <row r="310" spans="2:27" x14ac:dyDescent="0.25">
      <c r="B310" s="1" t="s">
        <v>802</v>
      </c>
      <c r="C310" s="1" t="s">
        <v>803</v>
      </c>
      <c r="D310" s="1" t="s">
        <v>4</v>
      </c>
      <c r="E310" s="1" t="s">
        <v>120</v>
      </c>
      <c r="M310" t="s">
        <v>735</v>
      </c>
      <c r="N310" t="s">
        <v>1651</v>
      </c>
      <c r="O310" t="s">
        <v>1652</v>
      </c>
      <c r="AA310" t="str">
        <f t="shared" si="12"/>
        <v>Cloxacillin Capsule 250 mg</v>
      </c>
    </row>
    <row r="311" spans="2:27" x14ac:dyDescent="0.25">
      <c r="B311" s="1" t="s">
        <v>802</v>
      </c>
      <c r="C311" s="1" t="s">
        <v>803</v>
      </c>
      <c r="D311" s="1" t="s">
        <v>4</v>
      </c>
      <c r="E311" s="1" t="s">
        <v>293</v>
      </c>
      <c r="M311" t="s">
        <v>735</v>
      </c>
      <c r="N311" t="s">
        <v>1651</v>
      </c>
      <c r="O311" t="s">
        <v>1652</v>
      </c>
      <c r="AA311" t="str">
        <f t="shared" si="12"/>
        <v>Cloxacillin Capsule 500 mg</v>
      </c>
    </row>
    <row r="312" spans="2:27" x14ac:dyDescent="0.25">
      <c r="B312" s="1" t="s">
        <v>802</v>
      </c>
      <c r="C312" s="1" t="s">
        <v>803</v>
      </c>
      <c r="D312" s="1" t="s">
        <v>4</v>
      </c>
      <c r="E312" s="1" t="s">
        <v>804</v>
      </c>
      <c r="M312" t="s">
        <v>735</v>
      </c>
      <c r="N312" t="s">
        <v>1651</v>
      </c>
      <c r="O312" t="s">
        <v>1652</v>
      </c>
      <c r="AA312" t="str">
        <f t="shared" si="12"/>
        <v>Cloxacillin Oral Liquid 125 mg/5 mL (p)</v>
      </c>
    </row>
    <row r="313" spans="2:27" x14ac:dyDescent="0.25">
      <c r="B313" s="1" t="s">
        <v>802</v>
      </c>
      <c r="C313" s="1" t="s">
        <v>803</v>
      </c>
      <c r="D313" s="1" t="s">
        <v>4</v>
      </c>
      <c r="E313" s="1" t="s">
        <v>16</v>
      </c>
      <c r="M313" t="s">
        <v>735</v>
      </c>
      <c r="N313" t="s">
        <v>1651</v>
      </c>
      <c r="O313" t="s">
        <v>1652</v>
      </c>
      <c r="AA313" t="str">
        <f t="shared" si="12"/>
        <v>Cloxacillin Powder for Injection 250 mg</v>
      </c>
    </row>
    <row r="314" spans="2:27" x14ac:dyDescent="0.25">
      <c r="B314" s="1" t="s">
        <v>805</v>
      </c>
      <c r="C314" s="1" t="s">
        <v>806</v>
      </c>
      <c r="D314" s="1" t="s">
        <v>8</v>
      </c>
      <c r="E314" s="1" t="s">
        <v>132</v>
      </c>
      <c r="G314" s="14">
        <v>2.48</v>
      </c>
      <c r="H314" s="14" t="s">
        <v>1624</v>
      </c>
      <c r="M314" t="s">
        <v>1669</v>
      </c>
      <c r="AA314" t="str">
        <f t="shared" si="12"/>
        <v>Clozapine Tablet 25 mg</v>
      </c>
    </row>
    <row r="315" spans="2:27" x14ac:dyDescent="0.25">
      <c r="B315" s="1" t="s">
        <v>805</v>
      </c>
      <c r="C315" s="1" t="s">
        <v>806</v>
      </c>
      <c r="D315" s="1" t="s">
        <v>8</v>
      </c>
      <c r="E315" s="1" t="s">
        <v>28</v>
      </c>
      <c r="G315" s="14">
        <v>4.63</v>
      </c>
      <c r="H315" s="14" t="s">
        <v>1624</v>
      </c>
      <c r="M315" t="s">
        <v>1669</v>
      </c>
      <c r="AA315" t="str">
        <f t="shared" si="12"/>
        <v>Clozapine Tablet 50 mg</v>
      </c>
    </row>
    <row r="316" spans="2:27" x14ac:dyDescent="0.25">
      <c r="B316" s="1" t="s">
        <v>805</v>
      </c>
      <c r="C316" s="1" t="s">
        <v>806</v>
      </c>
      <c r="D316" s="1" t="s">
        <v>8</v>
      </c>
      <c r="E316" s="1" t="s">
        <v>29</v>
      </c>
      <c r="G316" s="14">
        <v>7.54</v>
      </c>
      <c r="H316" s="14" t="s">
        <v>1624</v>
      </c>
      <c r="M316" t="s">
        <v>1669</v>
      </c>
      <c r="AA316" t="str">
        <f t="shared" si="12"/>
        <v>Clozapine Tablet 100 mg</v>
      </c>
    </row>
    <row r="317" spans="2:27" x14ac:dyDescent="0.25">
      <c r="B317" s="1" t="s">
        <v>807</v>
      </c>
      <c r="C317" s="1" t="s">
        <v>808</v>
      </c>
      <c r="D317" s="1" t="s">
        <v>19</v>
      </c>
      <c r="E317" s="1" t="s">
        <v>809</v>
      </c>
      <c r="AA317" t="str">
        <f t="shared" si="12"/>
        <v>Coagulation factor IX Powder for Injection 600 IU</v>
      </c>
    </row>
    <row r="318" spans="2:27" x14ac:dyDescent="0.25">
      <c r="B318" s="1" t="s">
        <v>810</v>
      </c>
      <c r="C318" s="1" t="s">
        <v>811</v>
      </c>
      <c r="D318" s="1" t="s">
        <v>19</v>
      </c>
      <c r="E318" s="1" t="s">
        <v>812</v>
      </c>
      <c r="M318" t="s">
        <v>1677</v>
      </c>
      <c r="AA318" t="str">
        <f t="shared" si="12"/>
        <v xml:space="preserve">Coagulation factor VIII Powder for Injection 250 IU </v>
      </c>
    </row>
    <row r="319" spans="2:27" x14ac:dyDescent="0.25">
      <c r="B319" s="1" t="s">
        <v>810</v>
      </c>
      <c r="C319" s="1" t="s">
        <v>811</v>
      </c>
      <c r="D319" s="1" t="s">
        <v>19</v>
      </c>
      <c r="E319" s="1" t="s">
        <v>813</v>
      </c>
      <c r="M319" t="s">
        <v>1677</v>
      </c>
      <c r="AA319" t="str">
        <f t="shared" si="12"/>
        <v>Coagulation factor VIII Powder for Injection 500 IU</v>
      </c>
    </row>
    <row r="320" spans="2:27" x14ac:dyDescent="0.25">
      <c r="B320" s="1" t="s">
        <v>106</v>
      </c>
      <c r="C320" s="1" t="s">
        <v>107</v>
      </c>
      <c r="D320" s="1" t="s">
        <v>4</v>
      </c>
      <c r="E320" s="1" t="s">
        <v>108</v>
      </c>
      <c r="AA320" t="str">
        <f t="shared" si="12"/>
        <v>Coal tar (A) + Salicylic Acid (B) Solution 1 % (A) + 3 % (B)</v>
      </c>
    </row>
    <row r="321" spans="2:27" x14ac:dyDescent="0.25">
      <c r="B321" s="1" t="s">
        <v>814</v>
      </c>
      <c r="C321" s="1" t="s">
        <v>815</v>
      </c>
      <c r="D321" s="1" t="s">
        <v>4</v>
      </c>
      <c r="E321" s="1" t="s">
        <v>139</v>
      </c>
      <c r="G321" s="14">
        <v>2.91</v>
      </c>
      <c r="H321" s="14" t="s">
        <v>1626</v>
      </c>
      <c r="M321" t="s">
        <v>1635</v>
      </c>
      <c r="AA321" t="str">
        <f t="shared" si="12"/>
        <v>Colchicine Tablet 0.5 mg</v>
      </c>
    </row>
    <row r="322" spans="2:27" x14ac:dyDescent="0.25">
      <c r="B322" s="1" t="s">
        <v>434</v>
      </c>
      <c r="C322" s="1" t="s">
        <v>816</v>
      </c>
      <c r="D322" s="1" t="s">
        <v>4</v>
      </c>
      <c r="E322" s="1" t="s">
        <v>817</v>
      </c>
      <c r="AA322" t="str">
        <f t="shared" si="12"/>
        <v>Condom As Licensed    as per the standards of  Drugs Rules, 1945</v>
      </c>
    </row>
    <row r="323" spans="2:27" x14ac:dyDescent="0.25">
      <c r="B323" s="1" t="s">
        <v>818</v>
      </c>
      <c r="C323" s="1" t="s">
        <v>819</v>
      </c>
      <c r="D323" s="1" t="s">
        <v>4</v>
      </c>
      <c r="E323" s="1" t="s">
        <v>820</v>
      </c>
      <c r="M323" t="s">
        <v>735</v>
      </c>
      <c r="N323" t="s">
        <v>1651</v>
      </c>
      <c r="O323" t="s">
        <v>1652</v>
      </c>
      <c r="AA323" t="str">
        <f t="shared" si="12"/>
        <v>Co-trimoxazole [Sulphamethoxazole
(A) + Trimethoprim (B)] Tablet 400 mg (A) + 80 mg (B)</v>
      </c>
    </row>
    <row r="324" spans="2:27" x14ac:dyDescent="0.25">
      <c r="B324" s="1" t="s">
        <v>818</v>
      </c>
      <c r="C324" s="1" t="s">
        <v>819</v>
      </c>
      <c r="D324" s="1" t="s">
        <v>4</v>
      </c>
      <c r="E324" s="1" t="s">
        <v>821</v>
      </c>
      <c r="M324" t="s">
        <v>735</v>
      </c>
      <c r="N324" t="s">
        <v>1651</v>
      </c>
      <c r="O324" t="s">
        <v>1652</v>
      </c>
      <c r="AA324" t="str">
        <f t="shared" si="12"/>
        <v xml:space="preserve">Co-trimoxazole [Sulphamethoxazole
(A) + Trimethoprim (B)] Tablet 800 mg (A) + 160 mg (B) </v>
      </c>
    </row>
    <row r="325" spans="2:27" x14ac:dyDescent="0.25">
      <c r="B325" s="1" t="s">
        <v>818</v>
      </c>
      <c r="C325" s="1" t="s">
        <v>819</v>
      </c>
      <c r="D325" s="1" t="s">
        <v>4</v>
      </c>
      <c r="E325" s="1" t="s">
        <v>822</v>
      </c>
      <c r="M325" t="s">
        <v>735</v>
      </c>
      <c r="N325" t="s">
        <v>1651</v>
      </c>
      <c r="O325" t="s">
        <v>1652</v>
      </c>
      <c r="AA325" t="str">
        <f t="shared" si="12"/>
        <v>Co-trimoxazole [Sulphamethoxazole
(A) + Trimethoprim (B)] Oral liquid 200 mg (A) + 40 mg (B)/5 mL (p)</v>
      </c>
    </row>
    <row r="326" spans="2:27" x14ac:dyDescent="0.25">
      <c r="B326" s="1" t="s">
        <v>823</v>
      </c>
      <c r="C326" s="1" t="s">
        <v>819</v>
      </c>
      <c r="D326" s="1" t="s">
        <v>4</v>
      </c>
      <c r="E326" s="1" t="s">
        <v>824</v>
      </c>
      <c r="M326" t="s">
        <v>735</v>
      </c>
      <c r="AA326" t="str">
        <f t="shared" si="12"/>
        <v xml:space="preserve">Co-trimoxazole [Sulphamethoxazole
(A) + Trimethoprim (B)] Tablet 400 mg (A) +   80 mg (B) </v>
      </c>
    </row>
    <row r="327" spans="2:27" x14ac:dyDescent="0.25">
      <c r="B327" s="1" t="s">
        <v>823</v>
      </c>
      <c r="C327" s="1" t="s">
        <v>819</v>
      </c>
      <c r="D327" s="1" t="s">
        <v>4</v>
      </c>
      <c r="E327" s="1" t="s">
        <v>821</v>
      </c>
      <c r="M327" t="s">
        <v>735</v>
      </c>
      <c r="AA327" t="str">
        <f t="shared" si="12"/>
        <v xml:space="preserve">Co-trimoxazole [Sulphamethoxazole
(A) + Trimethoprim (B)] Tablet 800 mg (A) + 160 mg (B) </v>
      </c>
    </row>
    <row r="328" spans="2:27" x14ac:dyDescent="0.25">
      <c r="B328" s="1" t="s">
        <v>823</v>
      </c>
      <c r="C328" s="1" t="s">
        <v>819</v>
      </c>
      <c r="D328" s="1" t="s">
        <v>4</v>
      </c>
      <c r="E328" s="1" t="s">
        <v>825</v>
      </c>
      <c r="M328" t="s">
        <v>735</v>
      </c>
      <c r="AA328" t="str">
        <f t="shared" si="12"/>
        <v>Co-trimoxazole [Sulphamethoxazole
(A) + Trimethoprim (B)] Oral liquid 200 mg (A) +
40 mg (B)/5 mL (p)</v>
      </c>
    </row>
    <row r="329" spans="2:27" x14ac:dyDescent="0.25">
      <c r="B329" s="1" t="s">
        <v>826</v>
      </c>
      <c r="C329" s="1" t="s">
        <v>827</v>
      </c>
      <c r="D329" s="1" t="s">
        <v>19</v>
      </c>
      <c r="E329" s="1" t="s">
        <v>391</v>
      </c>
      <c r="AA329" t="str">
        <f t="shared" ref="AA329:AA392" si="15">C329&amp;" "&amp;E329</f>
        <v>Cryoprecipitate As licensed</v>
      </c>
    </row>
    <row r="330" spans="2:27" x14ac:dyDescent="0.25">
      <c r="B330" s="1" t="s">
        <v>828</v>
      </c>
      <c r="C330" s="1" t="s">
        <v>113</v>
      </c>
      <c r="D330" s="1" t="s">
        <v>8</v>
      </c>
      <c r="E330" s="1" t="s">
        <v>205</v>
      </c>
      <c r="G330" s="14">
        <v>65.540000000000006</v>
      </c>
      <c r="H330" s="1" t="s">
        <v>1622</v>
      </c>
      <c r="M330" t="s">
        <v>1668</v>
      </c>
      <c r="AA330" t="str">
        <f t="shared" si="15"/>
        <v>Cyclophosphamide Powder for Injection 500 mg</v>
      </c>
    </row>
    <row r="331" spans="2:27" x14ac:dyDescent="0.25">
      <c r="B331" s="1" t="s">
        <v>828</v>
      </c>
      <c r="C331" s="1" t="s">
        <v>113</v>
      </c>
      <c r="D331" s="1" t="s">
        <v>8</v>
      </c>
      <c r="E331" s="1" t="s">
        <v>28</v>
      </c>
      <c r="M331" t="s">
        <v>1668</v>
      </c>
      <c r="AA331" t="str">
        <f t="shared" si="15"/>
        <v>Cyclophosphamide Tablet 50 mg</v>
      </c>
    </row>
    <row r="332" spans="2:27" x14ac:dyDescent="0.25">
      <c r="B332" s="1" t="s">
        <v>829</v>
      </c>
      <c r="C332" s="1" t="s">
        <v>830</v>
      </c>
      <c r="D332" s="1" t="s">
        <v>19</v>
      </c>
      <c r="E332" s="1" t="s">
        <v>120</v>
      </c>
      <c r="G332" s="10">
        <v>52.79</v>
      </c>
      <c r="H332" s="13" t="s">
        <v>1617</v>
      </c>
      <c r="I332" s="13" t="s">
        <v>1618</v>
      </c>
      <c r="M332" t="s">
        <v>735</v>
      </c>
      <c r="N332" t="s">
        <v>1655</v>
      </c>
      <c r="AA332" t="str">
        <f t="shared" si="15"/>
        <v>Cycloserine Capsule 250 mg</v>
      </c>
    </row>
    <row r="333" spans="2:27" x14ac:dyDescent="0.25">
      <c r="B333" s="1" t="s">
        <v>829</v>
      </c>
      <c r="C333" s="1" t="s">
        <v>830</v>
      </c>
      <c r="D333" s="1" t="s">
        <v>19</v>
      </c>
      <c r="E333" s="1" t="s">
        <v>440</v>
      </c>
      <c r="M333" t="s">
        <v>735</v>
      </c>
      <c r="N333" t="s">
        <v>1655</v>
      </c>
      <c r="AA333" t="str">
        <f t="shared" si="15"/>
        <v>Cycloserine Capsule 125 mg</v>
      </c>
    </row>
    <row r="334" spans="2:27" x14ac:dyDescent="0.25">
      <c r="B334" s="1" t="s">
        <v>831</v>
      </c>
      <c r="C334" s="1" t="s">
        <v>116</v>
      </c>
      <c r="D334" s="1" t="s">
        <v>8</v>
      </c>
      <c r="E334" s="1" t="s">
        <v>266</v>
      </c>
      <c r="G334" s="14">
        <v>25.01</v>
      </c>
      <c r="H334" s="1" t="s">
        <v>1622</v>
      </c>
      <c r="M334" t="s">
        <v>1668</v>
      </c>
      <c r="AA334" t="str">
        <f t="shared" si="15"/>
        <v>Cyclosporine Capsule 25 mg</v>
      </c>
    </row>
    <row r="335" spans="2:27" x14ac:dyDescent="0.25">
      <c r="B335" s="1" t="s">
        <v>831</v>
      </c>
      <c r="C335" s="1" t="s">
        <v>116</v>
      </c>
      <c r="D335" s="1" t="s">
        <v>8</v>
      </c>
      <c r="E335" s="1" t="s">
        <v>371</v>
      </c>
      <c r="M335" t="s">
        <v>1668</v>
      </c>
      <c r="AA335" t="str">
        <f t="shared" si="15"/>
        <v>Cyclosporine Capsule 50 mg</v>
      </c>
    </row>
    <row r="336" spans="2:27" x14ac:dyDescent="0.25">
      <c r="B336" s="1" t="s">
        <v>831</v>
      </c>
      <c r="C336" s="1" t="s">
        <v>116</v>
      </c>
      <c r="D336" s="1" t="s">
        <v>8</v>
      </c>
      <c r="E336" s="1" t="s">
        <v>240</v>
      </c>
      <c r="M336" t="s">
        <v>1668</v>
      </c>
      <c r="AA336" t="str">
        <f t="shared" si="15"/>
        <v>Cyclosporine Capsule 100 mg</v>
      </c>
    </row>
    <row r="337" spans="2:27" x14ac:dyDescent="0.25">
      <c r="B337" s="1"/>
      <c r="C337" s="1"/>
      <c r="D337" s="1"/>
      <c r="E337" s="1"/>
      <c r="J337" t="s">
        <v>530</v>
      </c>
      <c r="K337" t="str">
        <f t="shared" ref="K337:K388" si="16">C337&amp;" "&amp;E337</f>
        <v xml:space="preserve"> </v>
      </c>
      <c r="L337">
        <f t="shared" ref="L337:L388" si="17">B337</f>
        <v>0</v>
      </c>
      <c r="AA337" t="str">
        <f t="shared" si="15"/>
        <v xml:space="preserve"> </v>
      </c>
    </row>
    <row r="338" spans="2:27" x14ac:dyDescent="0.25">
      <c r="B338" s="2" t="s">
        <v>832</v>
      </c>
      <c r="C338" s="1"/>
      <c r="D338" s="1"/>
      <c r="E338" s="1"/>
      <c r="J338" t="s">
        <v>530</v>
      </c>
      <c r="K338" t="str">
        <f t="shared" si="16"/>
        <v xml:space="preserve"> </v>
      </c>
      <c r="L338" t="str">
        <f t="shared" si="17"/>
        <v>6.3 - Antileprosy Medicines</v>
      </c>
      <c r="AA338" t="str">
        <f t="shared" si="15"/>
        <v xml:space="preserve"> </v>
      </c>
    </row>
    <row r="339" spans="2:27" x14ac:dyDescent="0.25">
      <c r="B339" s="1" t="s">
        <v>831</v>
      </c>
      <c r="C339" s="1" t="s">
        <v>116</v>
      </c>
      <c r="D339" s="1" t="s">
        <v>8</v>
      </c>
      <c r="E339" s="1" t="s">
        <v>833</v>
      </c>
      <c r="G339" s="1">
        <v>71.87</v>
      </c>
      <c r="H339" s="1" t="s">
        <v>1622</v>
      </c>
      <c r="M339" t="s">
        <v>1668</v>
      </c>
      <c r="AA339" t="str">
        <f t="shared" si="15"/>
        <v xml:space="preserve">Cyclosporine Oral liquid 100 mg/mL (p) </v>
      </c>
    </row>
    <row r="340" spans="2:27" x14ac:dyDescent="0.25">
      <c r="B340" s="1" t="s">
        <v>831</v>
      </c>
      <c r="C340" s="1" t="s">
        <v>116</v>
      </c>
      <c r="D340" s="1" t="s">
        <v>8</v>
      </c>
      <c r="E340" s="1" t="s">
        <v>182</v>
      </c>
      <c r="M340" t="s">
        <v>1668</v>
      </c>
      <c r="AA340" t="str">
        <f t="shared" si="15"/>
        <v>Cyclosporine Injection 50 mg/mL</v>
      </c>
    </row>
    <row r="341" spans="2:27" x14ac:dyDescent="0.25">
      <c r="B341" s="1" t="s">
        <v>834</v>
      </c>
      <c r="C341" s="1" t="s">
        <v>835</v>
      </c>
      <c r="D341" s="1" t="s">
        <v>8</v>
      </c>
      <c r="E341" s="1" t="s">
        <v>836</v>
      </c>
      <c r="G341" s="14">
        <v>478.32</v>
      </c>
      <c r="H341" s="14" t="s">
        <v>1626</v>
      </c>
      <c r="M341" t="s">
        <v>1668</v>
      </c>
      <c r="AA341" t="str">
        <f t="shared" si="15"/>
        <v>Cytosine arabinoside Injection  500 mg/vial</v>
      </c>
    </row>
    <row r="342" spans="2:27" x14ac:dyDescent="0.25">
      <c r="B342" s="1" t="s">
        <v>834</v>
      </c>
      <c r="C342" s="1" t="s">
        <v>835</v>
      </c>
      <c r="D342" s="1" t="s">
        <v>8</v>
      </c>
      <c r="E342" s="1" t="s">
        <v>837</v>
      </c>
      <c r="G342" s="14">
        <v>1008.07</v>
      </c>
      <c r="H342" s="1" t="s">
        <v>1622</v>
      </c>
      <c r="M342" t="s">
        <v>1668</v>
      </c>
      <c r="AA342" t="str">
        <f t="shared" si="15"/>
        <v>Cytosine arabinoside Injection 1000 mg/vial</v>
      </c>
    </row>
    <row r="343" spans="2:27" x14ac:dyDescent="0.25">
      <c r="B343" s="1" t="s">
        <v>834</v>
      </c>
      <c r="C343" s="1" t="s">
        <v>835</v>
      </c>
      <c r="D343" s="1" t="s">
        <v>8</v>
      </c>
      <c r="E343" s="1" t="s">
        <v>838</v>
      </c>
      <c r="G343" s="14">
        <v>124.49</v>
      </c>
      <c r="H343" s="14" t="s">
        <v>1626</v>
      </c>
      <c r="M343" t="s">
        <v>1668</v>
      </c>
      <c r="AA343" t="str">
        <f t="shared" si="15"/>
        <v>Cytosine arabinoside Injection  100 mg/vial</v>
      </c>
    </row>
    <row r="344" spans="2:27" x14ac:dyDescent="0.25">
      <c r="B344" s="1" t="s">
        <v>118</v>
      </c>
      <c r="C344" s="1" t="s">
        <v>119</v>
      </c>
      <c r="D344" s="1" t="s">
        <v>4</v>
      </c>
      <c r="E344" s="1" t="s">
        <v>120</v>
      </c>
      <c r="G344" s="14">
        <v>13.96</v>
      </c>
      <c r="H344" s="1" t="s">
        <v>1622</v>
      </c>
      <c r="M344" t="s">
        <v>631</v>
      </c>
      <c r="N344" t="s">
        <v>1641</v>
      </c>
      <c r="AA344" t="str">
        <f t="shared" si="15"/>
        <v>D- Penicillamine Capsule 250 mg</v>
      </c>
    </row>
    <row r="345" spans="2:27" x14ac:dyDescent="0.25">
      <c r="B345" s="1"/>
      <c r="C345" s="1"/>
      <c r="D345" s="1"/>
      <c r="E345" s="1"/>
      <c r="J345" t="s">
        <v>530</v>
      </c>
      <c r="K345" t="str">
        <f t="shared" si="16"/>
        <v xml:space="preserve"> </v>
      </c>
      <c r="L345">
        <f t="shared" si="17"/>
        <v>0</v>
      </c>
      <c r="AA345" t="str">
        <f t="shared" si="15"/>
        <v xml:space="preserve"> </v>
      </c>
    </row>
    <row r="346" spans="2:27" x14ac:dyDescent="0.25">
      <c r="B346" s="2" t="s">
        <v>839</v>
      </c>
      <c r="C346" s="1"/>
      <c r="D346" s="1"/>
      <c r="E346" s="1"/>
      <c r="J346" t="s">
        <v>530</v>
      </c>
      <c r="K346" t="str">
        <f t="shared" si="16"/>
        <v xml:space="preserve"> </v>
      </c>
      <c r="L346" t="str">
        <f t="shared" si="17"/>
        <v>6.4-Antituberculosis Medicines</v>
      </c>
      <c r="AA346" t="str">
        <f t="shared" si="15"/>
        <v xml:space="preserve"> </v>
      </c>
    </row>
    <row r="347" spans="2:27" x14ac:dyDescent="0.25">
      <c r="B347" s="1" t="s">
        <v>118</v>
      </c>
      <c r="C347" s="1" t="s">
        <v>119</v>
      </c>
      <c r="D347" s="1" t="s">
        <v>4</v>
      </c>
      <c r="E347" s="1" t="s">
        <v>121</v>
      </c>
      <c r="M347" t="s">
        <v>631</v>
      </c>
      <c r="N347" t="s">
        <v>1641</v>
      </c>
      <c r="AA347" t="str">
        <f t="shared" si="15"/>
        <v>D- Penicillamine Capsule 150 mg (p)</v>
      </c>
    </row>
    <row r="348" spans="2:27" x14ac:dyDescent="0.25">
      <c r="B348" s="1" t="s">
        <v>122</v>
      </c>
      <c r="C348" s="1" t="s">
        <v>123</v>
      </c>
      <c r="D348" s="1" t="s">
        <v>124</v>
      </c>
      <c r="E348" s="1" t="s">
        <v>125</v>
      </c>
      <c r="M348" t="s">
        <v>1667</v>
      </c>
      <c r="AA348" t="str">
        <f t="shared" si="15"/>
        <v>Dabigatran Tablet 110 mg</v>
      </c>
    </row>
    <row r="349" spans="2:27" x14ac:dyDescent="0.25">
      <c r="B349" s="1" t="s">
        <v>122</v>
      </c>
      <c r="C349" s="1" t="s">
        <v>123</v>
      </c>
      <c r="D349" s="1" t="s">
        <v>124</v>
      </c>
      <c r="E349" s="1" t="s">
        <v>102</v>
      </c>
      <c r="M349" t="s">
        <v>1667</v>
      </c>
      <c r="AA349" t="str">
        <f t="shared" si="15"/>
        <v>Dabigatran Tablet 150 mg</v>
      </c>
    </row>
    <row r="350" spans="2:27" x14ac:dyDescent="0.25">
      <c r="B350" s="1" t="s">
        <v>840</v>
      </c>
      <c r="C350" s="1" t="s">
        <v>841</v>
      </c>
      <c r="D350" s="1" t="s">
        <v>8</v>
      </c>
      <c r="E350" s="1" t="s">
        <v>205</v>
      </c>
      <c r="G350" s="14">
        <v>462.71</v>
      </c>
      <c r="H350" s="1" t="s">
        <v>1622</v>
      </c>
      <c r="M350" t="s">
        <v>1668</v>
      </c>
      <c r="AA350" t="str">
        <f t="shared" si="15"/>
        <v>Dacarbazine Powder for Injection 500 mg</v>
      </c>
    </row>
    <row r="351" spans="2:27" x14ac:dyDescent="0.25">
      <c r="B351" s="1" t="s">
        <v>840</v>
      </c>
      <c r="C351" s="1" t="s">
        <v>841</v>
      </c>
      <c r="D351" s="1" t="s">
        <v>8</v>
      </c>
      <c r="E351" s="1" t="s">
        <v>217</v>
      </c>
      <c r="G351" s="14">
        <v>340.46</v>
      </c>
      <c r="H351" s="14" t="s">
        <v>1624</v>
      </c>
      <c r="M351" t="s">
        <v>1668</v>
      </c>
      <c r="AA351" t="str">
        <f t="shared" si="15"/>
        <v>Dacarbazine Powder for Injection 200 mg</v>
      </c>
    </row>
    <row r="352" spans="2:27" x14ac:dyDescent="0.25">
      <c r="B352" s="1" t="s">
        <v>126</v>
      </c>
      <c r="C352" s="1" t="s">
        <v>127</v>
      </c>
      <c r="D352" s="1" t="s">
        <v>19</v>
      </c>
      <c r="E352" s="1" t="s">
        <v>128</v>
      </c>
      <c r="G352" s="1">
        <v>178.34</v>
      </c>
      <c r="H352" s="13" t="s">
        <v>1616</v>
      </c>
      <c r="I352" s="13" t="s">
        <v>1618</v>
      </c>
      <c r="M352" t="s">
        <v>735</v>
      </c>
      <c r="N352" t="s">
        <v>1665</v>
      </c>
      <c r="AA352" t="str">
        <f t="shared" si="15"/>
        <v>Daclatasvir Tablet 60 mg</v>
      </c>
    </row>
    <row r="353" spans="2:27" x14ac:dyDescent="0.25">
      <c r="B353" s="1" t="s">
        <v>126</v>
      </c>
      <c r="C353" s="1" t="s">
        <v>127</v>
      </c>
      <c r="D353" s="1" t="s">
        <v>19</v>
      </c>
      <c r="E353" s="1" t="s">
        <v>129</v>
      </c>
      <c r="M353" t="s">
        <v>735</v>
      </c>
      <c r="N353" t="s">
        <v>1665</v>
      </c>
      <c r="AA353" t="str">
        <f t="shared" si="15"/>
        <v>Daclatasvir Tablet 30 mg</v>
      </c>
    </row>
    <row r="354" spans="2:27" x14ac:dyDescent="0.25">
      <c r="B354" s="1" t="s">
        <v>130</v>
      </c>
      <c r="C354" s="1" t="s">
        <v>131</v>
      </c>
      <c r="D354" s="1" t="s">
        <v>4</v>
      </c>
      <c r="E354" s="1" t="s">
        <v>29</v>
      </c>
      <c r="M354" t="s">
        <v>735</v>
      </c>
      <c r="N354" t="s">
        <v>1654</v>
      </c>
      <c r="AA354" t="str">
        <f t="shared" si="15"/>
        <v>Dapsone Tablet 100 mg</v>
      </c>
    </row>
    <row r="355" spans="2:27" x14ac:dyDescent="0.25">
      <c r="B355" s="1" t="s">
        <v>130</v>
      </c>
      <c r="C355" s="1" t="s">
        <v>131</v>
      </c>
      <c r="D355" s="1" t="s">
        <v>4</v>
      </c>
      <c r="E355" s="1" t="s">
        <v>28</v>
      </c>
      <c r="M355" t="s">
        <v>735</v>
      </c>
      <c r="N355" t="s">
        <v>1654</v>
      </c>
      <c r="AA355" t="str">
        <f t="shared" si="15"/>
        <v>Dapsone Tablet 50 mg</v>
      </c>
    </row>
    <row r="356" spans="2:27" x14ac:dyDescent="0.25">
      <c r="B356" s="1" t="s">
        <v>842</v>
      </c>
      <c r="C356" s="1" t="s">
        <v>843</v>
      </c>
      <c r="D356" s="1" t="s">
        <v>19</v>
      </c>
      <c r="E356" s="1" t="s">
        <v>844</v>
      </c>
      <c r="G356" s="10">
        <v>137.72999999999999</v>
      </c>
      <c r="H356" s="13" t="s">
        <v>1617</v>
      </c>
      <c r="I356" s="13" t="s">
        <v>1618</v>
      </c>
      <c r="M356" t="s">
        <v>735</v>
      </c>
      <c r="N356" t="s">
        <v>1658</v>
      </c>
      <c r="O356" t="s">
        <v>1662</v>
      </c>
      <c r="AA356" t="str">
        <f t="shared" si="15"/>
        <v>Darunavir Tablet 600 mg</v>
      </c>
    </row>
    <row r="357" spans="2:27" x14ac:dyDescent="0.25">
      <c r="B357" s="1" t="s">
        <v>133</v>
      </c>
      <c r="C357" s="1" t="s">
        <v>134</v>
      </c>
      <c r="D357" s="1" t="s">
        <v>19</v>
      </c>
      <c r="E357" s="1" t="s">
        <v>135</v>
      </c>
      <c r="M357" t="s">
        <v>735</v>
      </c>
      <c r="N357" t="s">
        <v>1658</v>
      </c>
      <c r="O357" t="s">
        <v>1662</v>
      </c>
      <c r="AA357" t="str">
        <f t="shared" si="15"/>
        <v>Darunavir (A) + Ritonavir (B) Tablet 600 mg (A) + Tablet 100 mg (B)</v>
      </c>
    </row>
    <row r="358" spans="2:27" x14ac:dyDescent="0.25">
      <c r="B358" s="1" t="s">
        <v>845</v>
      </c>
      <c r="C358" s="1" t="s">
        <v>846</v>
      </c>
      <c r="D358" s="1" t="s">
        <v>8</v>
      </c>
      <c r="E358" s="1" t="s">
        <v>847</v>
      </c>
      <c r="AA358" t="str">
        <f t="shared" si="15"/>
        <v>Daunorubicin Injection 5 mg/mL</v>
      </c>
    </row>
    <row r="359" spans="2:27" x14ac:dyDescent="0.25">
      <c r="B359" s="1" t="s">
        <v>136</v>
      </c>
      <c r="C359" s="1" t="s">
        <v>137</v>
      </c>
      <c r="D359" s="1" t="s">
        <v>8</v>
      </c>
      <c r="E359" s="1" t="s">
        <v>28</v>
      </c>
      <c r="M359" t="s">
        <v>735</v>
      </c>
      <c r="N359" t="s">
        <v>1655</v>
      </c>
      <c r="AA359" t="str">
        <f t="shared" si="15"/>
        <v>Delamanid Tablet 50 mg</v>
      </c>
    </row>
    <row r="360" spans="2:27" x14ac:dyDescent="0.25">
      <c r="B360" s="1" t="s">
        <v>848</v>
      </c>
      <c r="C360" s="1" t="s">
        <v>849</v>
      </c>
      <c r="D360" s="1" t="s">
        <v>19</v>
      </c>
      <c r="E360" s="1" t="s">
        <v>850</v>
      </c>
      <c r="M360" t="s">
        <v>631</v>
      </c>
      <c r="N360" t="s">
        <v>1641</v>
      </c>
      <c r="AA360" t="str">
        <f t="shared" si="15"/>
        <v>Desferrioxamine Powder for injection 500 mg</v>
      </c>
    </row>
    <row r="361" spans="2:27" x14ac:dyDescent="0.25">
      <c r="B361" s="1">
        <v>3.3</v>
      </c>
      <c r="C361" s="1" t="s">
        <v>138</v>
      </c>
      <c r="D361" s="1" t="s">
        <v>4</v>
      </c>
      <c r="E361" s="1" t="s">
        <v>139</v>
      </c>
      <c r="G361" s="15">
        <v>0.2</v>
      </c>
      <c r="H361" s="14" t="s">
        <v>1626</v>
      </c>
      <c r="M361" t="s">
        <v>598</v>
      </c>
      <c r="AA361" t="str">
        <f t="shared" si="15"/>
        <v>Dexamethasone Tablet 0.5 mg</v>
      </c>
    </row>
    <row r="362" spans="2:27" x14ac:dyDescent="0.25">
      <c r="B362" s="1">
        <v>3.3</v>
      </c>
      <c r="C362" s="1" t="s">
        <v>138</v>
      </c>
      <c r="D362" s="1" t="s">
        <v>4</v>
      </c>
      <c r="E362" s="1" t="s">
        <v>140</v>
      </c>
      <c r="M362" t="s">
        <v>598</v>
      </c>
      <c r="AA362" t="str">
        <f t="shared" si="15"/>
        <v>Dexamethasone Tablet 2 mg</v>
      </c>
    </row>
    <row r="363" spans="2:27" x14ac:dyDescent="0.25">
      <c r="B363" s="1">
        <v>3.3</v>
      </c>
      <c r="C363" s="1" t="s">
        <v>138</v>
      </c>
      <c r="D363" s="1" t="s">
        <v>4</v>
      </c>
      <c r="E363" s="1" t="s">
        <v>851</v>
      </c>
      <c r="M363" t="s">
        <v>598</v>
      </c>
      <c r="AA363" t="str">
        <f t="shared" si="15"/>
        <v>Dexamethasone Tablet 4 mg</v>
      </c>
    </row>
    <row r="364" spans="2:27" x14ac:dyDescent="0.25">
      <c r="B364" s="1">
        <v>3.3</v>
      </c>
      <c r="C364" s="1" t="s">
        <v>138</v>
      </c>
      <c r="D364" s="1" t="s">
        <v>4</v>
      </c>
      <c r="E364" s="1" t="s">
        <v>287</v>
      </c>
      <c r="M364" t="s">
        <v>598</v>
      </c>
      <c r="AA364" t="str">
        <f t="shared" si="15"/>
        <v>Dexamethasone Injection 4 mg/mL</v>
      </c>
    </row>
    <row r="365" spans="2:27" x14ac:dyDescent="0.25">
      <c r="B365" s="1">
        <v>3.3</v>
      </c>
      <c r="C365" s="1" t="s">
        <v>138</v>
      </c>
      <c r="D365" s="1" t="s">
        <v>4</v>
      </c>
      <c r="E365" s="1" t="s">
        <v>141</v>
      </c>
      <c r="M365" t="s">
        <v>598</v>
      </c>
      <c r="AA365" t="str">
        <f t="shared" si="15"/>
        <v>Dexamethasone Oral liquid 0.5 mg/5 mL (p)</v>
      </c>
    </row>
    <row r="366" spans="2:27" x14ac:dyDescent="0.25">
      <c r="B366" s="1" t="s">
        <v>852</v>
      </c>
      <c r="C366" s="1" t="s">
        <v>138</v>
      </c>
      <c r="D366" s="1" t="s">
        <v>19</v>
      </c>
      <c r="E366" s="1" t="s">
        <v>851</v>
      </c>
      <c r="M366" t="s">
        <v>1668</v>
      </c>
      <c r="AA366" t="str">
        <f t="shared" si="15"/>
        <v>Dexamethasone Tablet 4 mg</v>
      </c>
    </row>
    <row r="367" spans="2:27" x14ac:dyDescent="0.25">
      <c r="B367" s="1" t="s">
        <v>852</v>
      </c>
      <c r="C367" s="1" t="s">
        <v>138</v>
      </c>
      <c r="D367" s="1" t="s">
        <v>19</v>
      </c>
      <c r="E367" s="1" t="s">
        <v>287</v>
      </c>
      <c r="M367" t="s">
        <v>1668</v>
      </c>
      <c r="AA367" t="str">
        <f t="shared" si="15"/>
        <v>Dexamethasone Injection 4 mg/mL</v>
      </c>
    </row>
    <row r="368" spans="2:27" x14ac:dyDescent="0.25">
      <c r="B368" s="1" t="s">
        <v>852</v>
      </c>
      <c r="C368" s="1" t="s">
        <v>138</v>
      </c>
      <c r="D368" s="1" t="s">
        <v>19</v>
      </c>
      <c r="E368" s="1" t="s">
        <v>139</v>
      </c>
      <c r="M368" t="s">
        <v>1668</v>
      </c>
      <c r="AA368" t="str">
        <f t="shared" si="15"/>
        <v>Dexamethasone Tablet 0.5 mg</v>
      </c>
    </row>
    <row r="369" spans="2:27" x14ac:dyDescent="0.25">
      <c r="B369" s="1" t="s">
        <v>412</v>
      </c>
      <c r="C369" s="1" t="s">
        <v>138</v>
      </c>
      <c r="D369" s="1" t="s">
        <v>19</v>
      </c>
      <c r="E369" s="1" t="s">
        <v>139</v>
      </c>
      <c r="M369" t="s">
        <v>1675</v>
      </c>
      <c r="AA369" t="str">
        <f t="shared" si="15"/>
        <v>Dexamethasone Tablet 0.5 mg</v>
      </c>
    </row>
    <row r="370" spans="2:27" x14ac:dyDescent="0.25">
      <c r="B370" s="1" t="s">
        <v>412</v>
      </c>
      <c r="C370" s="1" t="s">
        <v>138</v>
      </c>
      <c r="D370" s="1" t="s">
        <v>19</v>
      </c>
      <c r="E370" s="1" t="s">
        <v>287</v>
      </c>
      <c r="M370" t="s">
        <v>1675</v>
      </c>
      <c r="AA370" t="str">
        <f t="shared" si="15"/>
        <v>Dexamethasone Injection 4 mg/mL</v>
      </c>
    </row>
    <row r="371" spans="2:27" x14ac:dyDescent="0.25">
      <c r="B371" s="1">
        <v>27.1</v>
      </c>
      <c r="C371" s="1" t="s">
        <v>138</v>
      </c>
      <c r="D371" s="1" t="s">
        <v>4</v>
      </c>
      <c r="E371" s="1" t="s">
        <v>139</v>
      </c>
      <c r="M371" t="s">
        <v>1678</v>
      </c>
      <c r="AA371" t="str">
        <f t="shared" si="15"/>
        <v>Dexamethasone Tablet 0.5 mg</v>
      </c>
    </row>
    <row r="372" spans="2:27" x14ac:dyDescent="0.25">
      <c r="B372" s="1">
        <v>27.1</v>
      </c>
      <c r="C372" s="1" t="s">
        <v>138</v>
      </c>
      <c r="D372" s="1" t="s">
        <v>4</v>
      </c>
      <c r="E372" s="1" t="s">
        <v>140</v>
      </c>
      <c r="M372" t="s">
        <v>1678</v>
      </c>
      <c r="AA372" t="str">
        <f t="shared" si="15"/>
        <v>Dexamethasone Tablet 2 mg</v>
      </c>
    </row>
    <row r="373" spans="2:27" x14ac:dyDescent="0.25">
      <c r="B373" s="1">
        <v>27.1</v>
      </c>
      <c r="C373" s="1" t="s">
        <v>138</v>
      </c>
      <c r="D373" s="1" t="s">
        <v>4</v>
      </c>
      <c r="E373" s="1" t="s">
        <v>851</v>
      </c>
      <c r="M373" t="s">
        <v>1678</v>
      </c>
      <c r="AA373" t="str">
        <f t="shared" si="15"/>
        <v>Dexamethasone Tablet 4 mg</v>
      </c>
    </row>
    <row r="374" spans="2:27" x14ac:dyDescent="0.25">
      <c r="B374" s="1">
        <v>27.1</v>
      </c>
      <c r="C374" s="1" t="s">
        <v>138</v>
      </c>
      <c r="D374" s="1" t="s">
        <v>4</v>
      </c>
      <c r="E374" s="1" t="s">
        <v>287</v>
      </c>
      <c r="M374" t="s">
        <v>1678</v>
      </c>
      <c r="AA374" t="str">
        <f t="shared" si="15"/>
        <v>Dexamethasone Injection 4 mg/mL</v>
      </c>
    </row>
    <row r="375" spans="2:27" x14ac:dyDescent="0.25">
      <c r="B375" s="1">
        <v>27.1</v>
      </c>
      <c r="C375" s="1" t="s">
        <v>138</v>
      </c>
      <c r="D375" s="1" t="s">
        <v>4</v>
      </c>
      <c r="E375" s="1" t="s">
        <v>141</v>
      </c>
      <c r="M375" t="s">
        <v>1678</v>
      </c>
      <c r="AA375" t="str">
        <f t="shared" si="15"/>
        <v>Dexamethasone Oral liquid 0.5 mg/5 mL (p)</v>
      </c>
    </row>
    <row r="376" spans="2:27" x14ac:dyDescent="0.25">
      <c r="B376" s="1" t="s">
        <v>853</v>
      </c>
      <c r="C376" s="1" t="s">
        <v>854</v>
      </c>
      <c r="D376" s="1" t="s">
        <v>19</v>
      </c>
      <c r="E376" s="1" t="s">
        <v>855</v>
      </c>
      <c r="AA376" t="str">
        <f t="shared" si="15"/>
        <v>Dextran-40 Injection 10 %</v>
      </c>
    </row>
    <row r="377" spans="2:27" x14ac:dyDescent="0.25">
      <c r="B377" s="1" t="s">
        <v>856</v>
      </c>
      <c r="C377" s="1" t="s">
        <v>857</v>
      </c>
      <c r="D377" s="1" t="s">
        <v>4</v>
      </c>
      <c r="E377" s="1" t="s">
        <v>677</v>
      </c>
      <c r="M377" t="s">
        <v>651</v>
      </c>
      <c r="N377" t="s">
        <v>1642</v>
      </c>
      <c r="AA377" t="str">
        <f t="shared" si="15"/>
        <v>Diazepam Suppository 5 mg</v>
      </c>
    </row>
    <row r="378" spans="2:27" x14ac:dyDescent="0.25">
      <c r="B378" s="1" t="s">
        <v>856</v>
      </c>
      <c r="C378" s="1" t="s">
        <v>857</v>
      </c>
      <c r="D378" s="1" t="s">
        <v>4</v>
      </c>
      <c r="E378" s="1" t="s">
        <v>847</v>
      </c>
      <c r="G378" s="14">
        <v>4.9400000000000004</v>
      </c>
      <c r="H378" s="1" t="s">
        <v>1622</v>
      </c>
      <c r="M378" t="s">
        <v>651</v>
      </c>
      <c r="N378" t="s">
        <v>1642</v>
      </c>
      <c r="AA378" t="str">
        <f t="shared" si="15"/>
        <v>Diazepam Injection 5 mg/mL</v>
      </c>
    </row>
    <row r="379" spans="2:27" x14ac:dyDescent="0.25">
      <c r="B379" s="1" t="s">
        <v>856</v>
      </c>
      <c r="C379" s="1" t="s">
        <v>857</v>
      </c>
      <c r="D379" s="1" t="s">
        <v>4</v>
      </c>
      <c r="E379" s="1" t="s">
        <v>858</v>
      </c>
      <c r="M379" t="s">
        <v>651</v>
      </c>
      <c r="N379" t="s">
        <v>1642</v>
      </c>
      <c r="AA379" t="str">
        <f t="shared" si="15"/>
        <v>Diazepam Oral liquid 2 mg/5 mL (p)</v>
      </c>
    </row>
    <row r="380" spans="2:27" x14ac:dyDescent="0.25">
      <c r="B380" s="1" t="s">
        <v>859</v>
      </c>
      <c r="C380" s="1" t="s">
        <v>857</v>
      </c>
      <c r="D380" s="1" t="s">
        <v>19</v>
      </c>
      <c r="E380" s="1" t="s">
        <v>140</v>
      </c>
      <c r="M380" t="s">
        <v>1668</v>
      </c>
      <c r="AA380" t="str">
        <f t="shared" si="15"/>
        <v>Diazepam Tablet 2 mg</v>
      </c>
    </row>
    <row r="381" spans="2:27" x14ac:dyDescent="0.25">
      <c r="B381" s="1" t="s">
        <v>859</v>
      </c>
      <c r="C381" s="1" t="s">
        <v>857</v>
      </c>
      <c r="D381" s="1" t="s">
        <v>19</v>
      </c>
      <c r="E381" s="1" t="s">
        <v>381</v>
      </c>
      <c r="G381" s="14">
        <v>1.45</v>
      </c>
      <c r="H381" s="1" t="s">
        <v>1622</v>
      </c>
      <c r="M381" t="s">
        <v>1668</v>
      </c>
      <c r="AA381" t="str">
        <f t="shared" si="15"/>
        <v>Diazepam Tablet 5 mg</v>
      </c>
    </row>
    <row r="382" spans="2:27" x14ac:dyDescent="0.25">
      <c r="B382" s="1" t="s">
        <v>859</v>
      </c>
      <c r="C382" s="1" t="s">
        <v>857</v>
      </c>
      <c r="D382" s="1" t="s">
        <v>19</v>
      </c>
      <c r="E382" s="1" t="s">
        <v>847</v>
      </c>
      <c r="G382" s="14">
        <v>4.9400000000000004</v>
      </c>
      <c r="H382" s="1" t="s">
        <v>1622</v>
      </c>
      <c r="M382" t="s">
        <v>1668</v>
      </c>
      <c r="AA382" t="str">
        <f t="shared" si="15"/>
        <v>Diazepam Injection 5 mg/mL</v>
      </c>
    </row>
    <row r="383" spans="2:27" x14ac:dyDescent="0.25">
      <c r="B383" s="1" t="s">
        <v>860</v>
      </c>
      <c r="C383" s="1" t="s">
        <v>861</v>
      </c>
      <c r="D383" s="1" t="s">
        <v>4</v>
      </c>
      <c r="E383" s="1" t="s">
        <v>862</v>
      </c>
      <c r="G383" s="14">
        <v>1.51</v>
      </c>
      <c r="H383" s="1" t="s">
        <v>1622</v>
      </c>
      <c r="M383" t="s">
        <v>1635</v>
      </c>
      <c r="N383" t="s">
        <v>1636</v>
      </c>
      <c r="AA383" t="str">
        <f t="shared" si="15"/>
        <v>Diclofenac Injection 25 mg/mL</v>
      </c>
    </row>
    <row r="384" spans="2:27" x14ac:dyDescent="0.25">
      <c r="B384" s="1" t="s">
        <v>860</v>
      </c>
      <c r="C384" s="1" t="s">
        <v>861</v>
      </c>
      <c r="D384" s="1" t="s">
        <v>4</v>
      </c>
      <c r="E384" s="1" t="s">
        <v>28</v>
      </c>
      <c r="G384" s="14">
        <v>1.83</v>
      </c>
      <c r="H384" s="14" t="s">
        <v>1624</v>
      </c>
      <c r="M384" t="s">
        <v>1635</v>
      </c>
      <c r="N384" t="s">
        <v>1636</v>
      </c>
      <c r="AA384" t="str">
        <f t="shared" si="15"/>
        <v>Diclofenac Tablet 50 mg</v>
      </c>
    </row>
    <row r="385" spans="2:27" x14ac:dyDescent="0.25">
      <c r="B385" s="1" t="s">
        <v>863</v>
      </c>
      <c r="C385" s="1" t="s">
        <v>864</v>
      </c>
      <c r="D385" s="1" t="s">
        <v>4</v>
      </c>
      <c r="E385" s="1" t="s">
        <v>220</v>
      </c>
      <c r="M385" t="s">
        <v>1666</v>
      </c>
      <c r="AA385" t="str">
        <f t="shared" si="15"/>
        <v>Dicyclomine Tablet 10 mg</v>
      </c>
    </row>
    <row r="386" spans="2:27" x14ac:dyDescent="0.25">
      <c r="B386" s="1" t="s">
        <v>863</v>
      </c>
      <c r="C386" s="1" t="s">
        <v>864</v>
      </c>
      <c r="D386" s="1" t="s">
        <v>4</v>
      </c>
      <c r="E386" s="1" t="s">
        <v>865</v>
      </c>
      <c r="M386" t="s">
        <v>1666</v>
      </c>
      <c r="AA386" t="str">
        <f t="shared" si="15"/>
        <v xml:space="preserve">Dicyclomine Oral Solution 10 mg/5mL </v>
      </c>
    </row>
    <row r="387" spans="2:27" x14ac:dyDescent="0.25">
      <c r="B387" s="1"/>
      <c r="C387" s="1"/>
      <c r="D387" s="1"/>
      <c r="E387" s="1"/>
      <c r="J387" t="s">
        <v>530</v>
      </c>
      <c r="K387" t="str">
        <f t="shared" si="16"/>
        <v xml:space="preserve"> </v>
      </c>
      <c r="L387">
        <f t="shared" si="17"/>
        <v>0</v>
      </c>
      <c r="AA387" t="str">
        <f t="shared" si="15"/>
        <v xml:space="preserve"> </v>
      </c>
    </row>
    <row r="388" spans="2:27" x14ac:dyDescent="0.25">
      <c r="B388" s="2" t="s">
        <v>866</v>
      </c>
      <c r="C388" s="1"/>
      <c r="D388" s="1"/>
      <c r="E388" s="1"/>
      <c r="J388" t="s">
        <v>530</v>
      </c>
      <c r="K388" t="str">
        <f t="shared" si="16"/>
        <v xml:space="preserve"> </v>
      </c>
      <c r="L388" t="str">
        <f t="shared" si="17"/>
        <v>6.5 - Antifungal Medicines</v>
      </c>
      <c r="AA388" t="str">
        <f t="shared" si="15"/>
        <v xml:space="preserve"> </v>
      </c>
    </row>
    <row r="389" spans="2:27" x14ac:dyDescent="0.25">
      <c r="B389" s="1" t="s">
        <v>863</v>
      </c>
      <c r="C389" s="1" t="s">
        <v>864</v>
      </c>
      <c r="D389" s="1" t="s">
        <v>4</v>
      </c>
      <c r="E389" s="1" t="s">
        <v>867</v>
      </c>
      <c r="AA389" t="str">
        <f t="shared" si="15"/>
        <v>Dicyclomine Injection 10 mg/ mL</v>
      </c>
    </row>
    <row r="390" spans="2:27" x14ac:dyDescent="0.25">
      <c r="B390" s="1" t="s">
        <v>868</v>
      </c>
      <c r="C390" s="1" t="s">
        <v>869</v>
      </c>
      <c r="D390" s="1" t="s">
        <v>4</v>
      </c>
      <c r="E390" s="1" t="s">
        <v>28</v>
      </c>
      <c r="M390" t="s">
        <v>735</v>
      </c>
      <c r="N390" t="s">
        <v>1648</v>
      </c>
      <c r="O390" t="s">
        <v>1649</v>
      </c>
      <c r="AA390" t="str">
        <f t="shared" si="15"/>
        <v>Diethylcarbamazine (DEC) Tablet 50 mg</v>
      </c>
    </row>
    <row r="391" spans="2:27" x14ac:dyDescent="0.25">
      <c r="B391" s="1" t="s">
        <v>868</v>
      </c>
      <c r="C391" s="1" t="s">
        <v>869</v>
      </c>
      <c r="D391" s="1" t="s">
        <v>4</v>
      </c>
      <c r="E391" s="1" t="s">
        <v>29</v>
      </c>
      <c r="G391" s="11">
        <v>1.49</v>
      </c>
      <c r="H391" s="13" t="s">
        <v>1617</v>
      </c>
      <c r="I391" s="13" t="s">
        <v>1618</v>
      </c>
      <c r="M391" t="s">
        <v>735</v>
      </c>
      <c r="N391" t="s">
        <v>1648</v>
      </c>
      <c r="O391" t="s">
        <v>1649</v>
      </c>
      <c r="AA391" t="str">
        <f t="shared" si="15"/>
        <v>Diethylcarbamazine (DEC) Tablet 100 mg</v>
      </c>
    </row>
    <row r="392" spans="2:27" x14ac:dyDescent="0.25">
      <c r="B392" s="1" t="s">
        <v>868</v>
      </c>
      <c r="C392" s="1" t="s">
        <v>869</v>
      </c>
      <c r="D392" s="1" t="s">
        <v>4</v>
      </c>
      <c r="E392" s="1" t="s">
        <v>870</v>
      </c>
      <c r="M392" t="s">
        <v>735</v>
      </c>
      <c r="N392" t="s">
        <v>1648</v>
      </c>
      <c r="O392" t="s">
        <v>1649</v>
      </c>
      <c r="AA392" t="str">
        <f t="shared" si="15"/>
        <v>Diethylcarbamazine (DEC) Oral liquid 120 mg/5 mL (p)</v>
      </c>
    </row>
    <row r="393" spans="2:27" x14ac:dyDescent="0.25">
      <c r="B393" s="1" t="s">
        <v>871</v>
      </c>
      <c r="C393" s="1" t="s">
        <v>872</v>
      </c>
      <c r="D393" s="1" t="s">
        <v>19</v>
      </c>
      <c r="E393" s="1" t="s">
        <v>795</v>
      </c>
      <c r="G393" s="14">
        <v>1.19</v>
      </c>
      <c r="H393" s="14" t="s">
        <v>1624</v>
      </c>
      <c r="M393" t="s">
        <v>1667</v>
      </c>
      <c r="AA393" t="str">
        <f t="shared" ref="AA393:AA456" si="18">C393&amp;" "&amp;E393</f>
        <v>Digoxin Tablet 0.25 mg</v>
      </c>
    </row>
    <row r="394" spans="2:27" x14ac:dyDescent="0.25">
      <c r="B394" s="1" t="s">
        <v>871</v>
      </c>
      <c r="C394" s="1" t="s">
        <v>872</v>
      </c>
      <c r="D394" s="1" t="s">
        <v>19</v>
      </c>
      <c r="E394" s="1" t="s">
        <v>873</v>
      </c>
      <c r="M394" t="s">
        <v>1667</v>
      </c>
      <c r="AA394" t="str">
        <f t="shared" si="18"/>
        <v xml:space="preserve">Digoxin Oral liquid 0.05 mg/mL </v>
      </c>
    </row>
    <row r="395" spans="2:27" x14ac:dyDescent="0.25">
      <c r="B395" s="1" t="s">
        <v>871</v>
      </c>
      <c r="C395" s="1" t="s">
        <v>872</v>
      </c>
      <c r="D395" s="1" t="s">
        <v>19</v>
      </c>
      <c r="E395" s="1" t="s">
        <v>874</v>
      </c>
      <c r="M395" t="s">
        <v>1667</v>
      </c>
      <c r="AA395" t="str">
        <f t="shared" si="18"/>
        <v>Digoxin Injection 0.25 mg/mL</v>
      </c>
    </row>
    <row r="396" spans="2:27" x14ac:dyDescent="0.25">
      <c r="B396" s="1" t="s">
        <v>875</v>
      </c>
      <c r="C396" s="1" t="s">
        <v>872</v>
      </c>
      <c r="D396" s="1" t="s">
        <v>19</v>
      </c>
      <c r="E396" s="1" t="s">
        <v>795</v>
      </c>
      <c r="G396" s="14">
        <v>1.19</v>
      </c>
      <c r="H396" s="14" t="s">
        <v>1624</v>
      </c>
      <c r="M396" t="s">
        <v>1667</v>
      </c>
      <c r="AA396" t="str">
        <f t="shared" si="18"/>
        <v>Digoxin Tablet 0.25 mg</v>
      </c>
    </row>
    <row r="397" spans="2:27" x14ac:dyDescent="0.25">
      <c r="B397" s="1" t="s">
        <v>875</v>
      </c>
      <c r="C397" s="1" t="s">
        <v>872</v>
      </c>
      <c r="D397" s="1" t="s">
        <v>19</v>
      </c>
      <c r="E397" s="1" t="s">
        <v>873</v>
      </c>
      <c r="M397" t="s">
        <v>1667</v>
      </c>
      <c r="AA397" t="str">
        <f t="shared" si="18"/>
        <v xml:space="preserve">Digoxin Oral liquid 0.05 mg/mL </v>
      </c>
    </row>
    <row r="398" spans="2:27" x14ac:dyDescent="0.25">
      <c r="B398" s="1" t="s">
        <v>875</v>
      </c>
      <c r="C398" s="1" t="s">
        <v>872</v>
      </c>
      <c r="D398" s="1" t="s">
        <v>19</v>
      </c>
      <c r="E398" s="1" t="s">
        <v>874</v>
      </c>
      <c r="M398" t="s">
        <v>1667</v>
      </c>
      <c r="AA398" t="str">
        <f t="shared" si="18"/>
        <v>Digoxin Injection 0.25 mg/mL</v>
      </c>
    </row>
    <row r="399" spans="2:27" x14ac:dyDescent="0.25">
      <c r="B399" s="1" t="s">
        <v>147</v>
      </c>
      <c r="C399" s="1" t="s">
        <v>145</v>
      </c>
      <c r="D399" s="1" t="s">
        <v>4</v>
      </c>
      <c r="E399" s="1" t="s">
        <v>129</v>
      </c>
      <c r="M399" t="s">
        <v>1667</v>
      </c>
      <c r="AA399" t="str">
        <f t="shared" si="18"/>
        <v>Diltiazem Tablet 30 mg</v>
      </c>
    </row>
    <row r="400" spans="2:27" x14ac:dyDescent="0.25">
      <c r="B400" s="1" t="s">
        <v>147</v>
      </c>
      <c r="C400" s="1" t="s">
        <v>145</v>
      </c>
      <c r="D400" s="1" t="s">
        <v>4</v>
      </c>
      <c r="E400" s="1" t="s">
        <v>128</v>
      </c>
      <c r="G400" s="14">
        <v>4.87</v>
      </c>
      <c r="H400" s="14" t="s">
        <v>1624</v>
      </c>
      <c r="M400" t="s">
        <v>1667</v>
      </c>
      <c r="AA400" t="str">
        <f t="shared" si="18"/>
        <v>Diltiazem Tablet 60 mg</v>
      </c>
    </row>
    <row r="401" spans="2:27" x14ac:dyDescent="0.25">
      <c r="B401" s="1" t="s">
        <v>147</v>
      </c>
      <c r="C401" s="1" t="s">
        <v>145</v>
      </c>
      <c r="D401" s="1" t="s">
        <v>4</v>
      </c>
      <c r="E401" s="1" t="s">
        <v>148</v>
      </c>
      <c r="M401" t="s">
        <v>1667</v>
      </c>
      <c r="AA401" t="str">
        <f t="shared" si="18"/>
        <v>Diltiazem Modified Release Tablet 180 mg</v>
      </c>
    </row>
    <row r="402" spans="2:27" x14ac:dyDescent="0.25">
      <c r="B402" s="1" t="s">
        <v>147</v>
      </c>
      <c r="C402" s="1" t="s">
        <v>145</v>
      </c>
      <c r="D402" s="1" t="s">
        <v>124</v>
      </c>
      <c r="E402" s="1" t="s">
        <v>847</v>
      </c>
      <c r="M402" t="s">
        <v>1667</v>
      </c>
      <c r="AA402" t="str">
        <f t="shared" si="18"/>
        <v>Diltiazem Injection 5 mg/mL</v>
      </c>
    </row>
    <row r="403" spans="2:27" x14ac:dyDescent="0.25">
      <c r="B403" s="1" t="s">
        <v>876</v>
      </c>
      <c r="C403" s="1" t="s">
        <v>877</v>
      </c>
      <c r="D403" s="1" t="s">
        <v>19</v>
      </c>
      <c r="E403" s="1" t="s">
        <v>878</v>
      </c>
      <c r="M403" t="s">
        <v>1679</v>
      </c>
      <c r="AA403" t="str">
        <f t="shared" si="18"/>
        <v>Dinoprostone Gel 0.5 mg</v>
      </c>
    </row>
    <row r="404" spans="2:27" x14ac:dyDescent="0.25">
      <c r="B404" s="1" t="s">
        <v>876</v>
      </c>
      <c r="C404" s="1" t="s">
        <v>877</v>
      </c>
      <c r="D404" s="1" t="s">
        <v>19</v>
      </c>
      <c r="E404" s="1" t="s">
        <v>139</v>
      </c>
      <c r="M404" t="s">
        <v>1679</v>
      </c>
      <c r="AA404" t="str">
        <f t="shared" si="18"/>
        <v>Dinoprostone Tablet 0.5 mg</v>
      </c>
    </row>
    <row r="405" spans="2:27" x14ac:dyDescent="0.25">
      <c r="B405" s="1" t="s">
        <v>879</v>
      </c>
      <c r="C405" s="1" t="s">
        <v>880</v>
      </c>
      <c r="D405" s="1" t="s">
        <v>4</v>
      </c>
      <c r="E405" s="1" t="s">
        <v>609</v>
      </c>
      <c r="AA405" t="str">
        <f t="shared" si="18"/>
        <v>Diphtheria antitoxin As Licensed</v>
      </c>
    </row>
    <row r="406" spans="2:27" x14ac:dyDescent="0.25">
      <c r="B406" s="1" t="s">
        <v>881</v>
      </c>
      <c r="C406" s="1" t="s">
        <v>882</v>
      </c>
      <c r="D406" s="1" t="s">
        <v>19</v>
      </c>
      <c r="E406" s="1" t="s">
        <v>182</v>
      </c>
      <c r="AA406" t="str">
        <f t="shared" si="18"/>
        <v>Dobutamine Injection 50 mg/mL</v>
      </c>
    </row>
    <row r="407" spans="2:27" x14ac:dyDescent="0.25">
      <c r="B407" s="1" t="s">
        <v>883</v>
      </c>
      <c r="C407" s="1" t="s">
        <v>884</v>
      </c>
      <c r="D407" s="1" t="s">
        <v>8</v>
      </c>
      <c r="E407" s="1" t="s">
        <v>885</v>
      </c>
      <c r="G407" s="14">
        <v>9215.98</v>
      </c>
      <c r="H407" s="1" t="s">
        <v>1622</v>
      </c>
      <c r="M407" t="s">
        <v>1668</v>
      </c>
      <c r="AA407" t="str">
        <f t="shared" si="18"/>
        <v>Docetaxel Powder for Injection 80 mg</v>
      </c>
    </row>
    <row r="408" spans="2:27" x14ac:dyDescent="0.25">
      <c r="B408" s="1" t="s">
        <v>883</v>
      </c>
      <c r="C408" s="1" t="s">
        <v>884</v>
      </c>
      <c r="D408" s="1" t="s">
        <v>8</v>
      </c>
      <c r="E408" s="1" t="s">
        <v>886</v>
      </c>
      <c r="G408" s="14">
        <v>2558.14</v>
      </c>
      <c r="H408" s="14" t="s">
        <v>1624</v>
      </c>
      <c r="M408" t="s">
        <v>1668</v>
      </c>
      <c r="AA408" t="str">
        <f t="shared" si="18"/>
        <v>Docetaxel Powder for Injection 20 mg</v>
      </c>
    </row>
    <row r="409" spans="2:27" x14ac:dyDescent="0.25">
      <c r="B409" s="1" t="s">
        <v>151</v>
      </c>
      <c r="C409" s="1" t="s">
        <v>152</v>
      </c>
      <c r="D409" s="1" t="s">
        <v>19</v>
      </c>
      <c r="E409" s="1" t="s">
        <v>28</v>
      </c>
      <c r="G409" s="1">
        <v>100.59</v>
      </c>
      <c r="H409" s="13" t="s">
        <v>1616</v>
      </c>
      <c r="I409" s="13" t="s">
        <v>1618</v>
      </c>
      <c r="M409" t="s">
        <v>735</v>
      </c>
      <c r="N409" t="s">
        <v>1658</v>
      </c>
      <c r="O409" t="s">
        <v>1661</v>
      </c>
      <c r="AA409" t="str">
        <f t="shared" si="18"/>
        <v>Dolutegravir Tablet 50 mg</v>
      </c>
    </row>
    <row r="410" spans="2:27" x14ac:dyDescent="0.25">
      <c r="B410" s="1"/>
      <c r="C410" s="1"/>
      <c r="D410" s="1"/>
      <c r="E410" s="1"/>
      <c r="J410" t="s">
        <v>530</v>
      </c>
      <c r="K410" t="str">
        <f t="shared" ref="K410:K454" si="19">C410&amp;" "&amp;E410</f>
        <v xml:space="preserve"> </v>
      </c>
      <c r="L410">
        <f t="shared" ref="L410:L454" si="20">B410</f>
        <v>0</v>
      </c>
      <c r="AA410" t="str">
        <f t="shared" si="18"/>
        <v xml:space="preserve"> </v>
      </c>
    </row>
    <row r="411" spans="2:27" x14ac:dyDescent="0.25">
      <c r="B411" s="2" t="s">
        <v>887</v>
      </c>
      <c r="C411" s="1"/>
      <c r="D411" s="1"/>
      <c r="E411" s="1"/>
      <c r="J411" t="s">
        <v>530</v>
      </c>
      <c r="K411" t="str">
        <f t="shared" si="19"/>
        <v xml:space="preserve"> </v>
      </c>
      <c r="L411" t="str">
        <f t="shared" si="20"/>
        <v>6.6 - Antiviral Medicines</v>
      </c>
      <c r="AA411" t="str">
        <f t="shared" si="18"/>
        <v xml:space="preserve"> </v>
      </c>
    </row>
    <row r="412" spans="2:27" x14ac:dyDescent="0.25">
      <c r="B412" s="2" t="s">
        <v>888</v>
      </c>
      <c r="C412" s="1"/>
      <c r="D412" s="1"/>
      <c r="E412" s="1"/>
      <c r="J412" t="s">
        <v>530</v>
      </c>
      <c r="K412" t="str">
        <f t="shared" si="19"/>
        <v xml:space="preserve"> </v>
      </c>
      <c r="L412" t="str">
        <f t="shared" si="20"/>
        <v>6.6.1 - Antiherpes Medicines</v>
      </c>
      <c r="M412" t="s">
        <v>735</v>
      </c>
      <c r="AA412" t="str">
        <f t="shared" si="18"/>
        <v xml:space="preserve"> </v>
      </c>
    </row>
    <row r="413" spans="2:27" x14ac:dyDescent="0.25">
      <c r="B413" s="1" t="s">
        <v>57</v>
      </c>
      <c r="C413" s="1" t="s">
        <v>889</v>
      </c>
      <c r="D413" s="1" t="s">
        <v>4</v>
      </c>
      <c r="E413" s="1" t="s">
        <v>220</v>
      </c>
      <c r="G413" s="14">
        <v>2.06</v>
      </c>
      <c r="H413" s="14" t="s">
        <v>1624</v>
      </c>
      <c r="M413" t="s">
        <v>1666</v>
      </c>
      <c r="AA413" t="str">
        <f t="shared" si="18"/>
        <v>Domperidone Tablet 10 mg</v>
      </c>
    </row>
    <row r="414" spans="2:27" x14ac:dyDescent="0.25">
      <c r="B414" s="1" t="s">
        <v>57</v>
      </c>
      <c r="C414" s="1" t="s">
        <v>889</v>
      </c>
      <c r="D414" s="1" t="s">
        <v>4</v>
      </c>
      <c r="E414" s="1" t="s">
        <v>890</v>
      </c>
      <c r="G414" s="14">
        <v>1.1100000000000001</v>
      </c>
      <c r="H414" s="1" t="s">
        <v>1622</v>
      </c>
      <c r="M414" t="s">
        <v>1666</v>
      </c>
      <c r="AA414" t="str">
        <f t="shared" si="18"/>
        <v>Domperidone Oral Liquid 1 mg/mL</v>
      </c>
    </row>
    <row r="415" spans="2:27" x14ac:dyDescent="0.25">
      <c r="B415" s="1" t="s">
        <v>891</v>
      </c>
      <c r="C415" s="1" t="s">
        <v>892</v>
      </c>
      <c r="D415" s="1" t="s">
        <v>19</v>
      </c>
      <c r="E415" s="1" t="s">
        <v>220</v>
      </c>
      <c r="G415" s="10">
        <v>15.24</v>
      </c>
      <c r="H415" s="13" t="s">
        <v>1617</v>
      </c>
      <c r="I415" s="13" t="s">
        <v>1618</v>
      </c>
      <c r="M415" t="s">
        <v>651</v>
      </c>
      <c r="O415" t="s">
        <v>1646</v>
      </c>
      <c r="AA415" t="str">
        <f t="shared" si="18"/>
        <v>Donepezil Tablet 10 mg</v>
      </c>
    </row>
    <row r="416" spans="2:27" x14ac:dyDescent="0.25">
      <c r="B416" s="1" t="s">
        <v>891</v>
      </c>
      <c r="C416" s="1" t="s">
        <v>892</v>
      </c>
      <c r="D416" s="1" t="s">
        <v>19</v>
      </c>
      <c r="E416" s="1" t="s">
        <v>659</v>
      </c>
      <c r="G416" s="10">
        <v>10.57</v>
      </c>
      <c r="H416" s="13" t="s">
        <v>1617</v>
      </c>
      <c r="I416" s="13" t="s">
        <v>1618</v>
      </c>
      <c r="M416" t="s">
        <v>651</v>
      </c>
      <c r="O416" t="s">
        <v>1646</v>
      </c>
      <c r="AA416" t="str">
        <f t="shared" si="18"/>
        <v>Donepezil Tablet  5 mg</v>
      </c>
    </row>
    <row r="417" spans="2:27" x14ac:dyDescent="0.25">
      <c r="B417" s="1" t="s">
        <v>893</v>
      </c>
      <c r="C417" s="1" t="s">
        <v>894</v>
      </c>
      <c r="D417" s="1" t="s">
        <v>19</v>
      </c>
      <c r="E417" s="1" t="s">
        <v>895</v>
      </c>
      <c r="G417" s="14">
        <v>4.25</v>
      </c>
      <c r="H417" s="1" t="s">
        <v>1622</v>
      </c>
      <c r="AA417" t="str">
        <f t="shared" si="18"/>
        <v>Dopamine Injection 40 mg/mL</v>
      </c>
    </row>
    <row r="418" spans="2:27" x14ac:dyDescent="0.25">
      <c r="B418" s="1" t="s">
        <v>896</v>
      </c>
      <c r="C418" s="1" t="s">
        <v>897</v>
      </c>
      <c r="D418" s="1" t="s">
        <v>8</v>
      </c>
      <c r="E418" s="1" t="s">
        <v>898</v>
      </c>
      <c r="AA418" t="str">
        <f t="shared" si="18"/>
        <v>Doxorubicin Injection 2 mg/mL</v>
      </c>
    </row>
    <row r="419" spans="2:27" x14ac:dyDescent="0.25">
      <c r="B419" s="1"/>
      <c r="C419" s="1"/>
      <c r="D419" s="1"/>
      <c r="E419" s="1"/>
      <c r="J419" t="s">
        <v>530</v>
      </c>
      <c r="K419" t="str">
        <f t="shared" si="19"/>
        <v xml:space="preserve"> </v>
      </c>
      <c r="L419">
        <f t="shared" si="20"/>
        <v>0</v>
      </c>
      <c r="AA419" t="str">
        <f t="shared" si="18"/>
        <v xml:space="preserve"> </v>
      </c>
    </row>
    <row r="420" spans="2:27" x14ac:dyDescent="0.25">
      <c r="B420" s="2" t="s">
        <v>899</v>
      </c>
      <c r="C420" s="1"/>
      <c r="D420" s="1"/>
      <c r="E420" s="1"/>
      <c r="J420" t="s">
        <v>530</v>
      </c>
      <c r="K420" t="str">
        <f t="shared" si="19"/>
        <v xml:space="preserve"> </v>
      </c>
      <c r="L420" t="str">
        <f t="shared" si="20"/>
        <v>6.6.2 - Anti-cytomegalovirus (CMV) medicines</v>
      </c>
      <c r="M420" t="s">
        <v>735</v>
      </c>
      <c r="AA420" t="str">
        <f t="shared" si="18"/>
        <v xml:space="preserve"> </v>
      </c>
    </row>
    <row r="421" spans="2:27" x14ac:dyDescent="0.25">
      <c r="B421" s="1" t="s">
        <v>153</v>
      </c>
      <c r="C421" s="1" t="s">
        <v>154</v>
      </c>
      <c r="D421" s="1" t="s">
        <v>4</v>
      </c>
      <c r="E421" s="1" t="s">
        <v>240</v>
      </c>
      <c r="G421" s="14">
        <v>2.75</v>
      </c>
      <c r="H421" s="14" t="s">
        <v>1626</v>
      </c>
      <c r="M421" t="s">
        <v>735</v>
      </c>
      <c r="N421" t="s">
        <v>1651</v>
      </c>
      <c r="O421" t="s">
        <v>1652</v>
      </c>
      <c r="AA421" t="str">
        <f t="shared" si="18"/>
        <v>Doxycycline Capsule 100 mg</v>
      </c>
    </row>
    <row r="422" spans="2:27" x14ac:dyDescent="0.25">
      <c r="B422" s="1" t="s">
        <v>153</v>
      </c>
      <c r="C422" s="1" t="s">
        <v>154</v>
      </c>
      <c r="D422" s="1" t="s">
        <v>4</v>
      </c>
      <c r="E422" s="1" t="s">
        <v>504</v>
      </c>
      <c r="M422" t="s">
        <v>735</v>
      </c>
      <c r="N422" t="s">
        <v>1651</v>
      </c>
      <c r="O422" t="s">
        <v>1652</v>
      </c>
      <c r="AA422" t="str">
        <f t="shared" si="18"/>
        <v xml:space="preserve">Doxycycline Dry Syrup 50 mg/5 mL (p) </v>
      </c>
    </row>
    <row r="423" spans="2:27" x14ac:dyDescent="0.25">
      <c r="B423" s="1"/>
      <c r="C423" s="1"/>
      <c r="D423" s="1"/>
      <c r="E423" s="1"/>
      <c r="J423" t="s">
        <v>530</v>
      </c>
      <c r="K423" t="str">
        <f t="shared" si="19"/>
        <v xml:space="preserve"> </v>
      </c>
      <c r="L423">
        <f t="shared" si="20"/>
        <v>0</v>
      </c>
      <c r="AA423" t="str">
        <f t="shared" si="18"/>
        <v xml:space="preserve"> </v>
      </c>
    </row>
    <row r="424" spans="2:27" x14ac:dyDescent="0.25">
      <c r="B424" s="2" t="s">
        <v>900</v>
      </c>
      <c r="C424" s="1"/>
      <c r="D424" s="1"/>
      <c r="E424" s="1"/>
      <c r="J424" t="s">
        <v>530</v>
      </c>
      <c r="K424" t="str">
        <f t="shared" si="19"/>
        <v xml:space="preserve"> </v>
      </c>
      <c r="L424" t="str">
        <f t="shared" si="20"/>
        <v>6.7- Medicines used in the Management of HIV</v>
      </c>
      <c r="AA424" t="str">
        <f t="shared" si="18"/>
        <v xml:space="preserve"> </v>
      </c>
    </row>
    <row r="425" spans="2:27" x14ac:dyDescent="0.25">
      <c r="B425" s="2" t="s">
        <v>901</v>
      </c>
      <c r="C425" s="1"/>
      <c r="D425" s="1"/>
      <c r="E425" s="1"/>
      <c r="J425" t="s">
        <v>530</v>
      </c>
      <c r="K425" t="str">
        <f t="shared" si="19"/>
        <v xml:space="preserve"> </v>
      </c>
      <c r="L425" t="str">
        <f t="shared" si="20"/>
        <v>6.7.1 Nucleoside Reverse Transcriptase Inhibitors</v>
      </c>
      <c r="AA425" t="str">
        <f t="shared" si="18"/>
        <v xml:space="preserve"> </v>
      </c>
    </row>
    <row r="426" spans="2:27" x14ac:dyDescent="0.25">
      <c r="B426" s="1" t="s">
        <v>153</v>
      </c>
      <c r="C426" s="1" t="s">
        <v>154</v>
      </c>
      <c r="D426" s="1" t="s">
        <v>4</v>
      </c>
      <c r="E426" s="1" t="s">
        <v>155</v>
      </c>
      <c r="M426" t="s">
        <v>735</v>
      </c>
      <c r="N426" t="s">
        <v>1651</v>
      </c>
      <c r="O426" t="s">
        <v>1652</v>
      </c>
      <c r="AA426" t="str">
        <f t="shared" si="18"/>
        <v>Doxycycline Power for Injection 100 mg</v>
      </c>
    </row>
    <row r="427" spans="2:27" x14ac:dyDescent="0.25">
      <c r="B427" s="1" t="s">
        <v>156</v>
      </c>
      <c r="C427" s="1" t="s">
        <v>157</v>
      </c>
      <c r="D427" s="1" t="s">
        <v>4</v>
      </c>
      <c r="E427" s="1" t="s">
        <v>158</v>
      </c>
      <c r="G427" s="14">
        <v>2.75</v>
      </c>
      <c r="H427" s="14" t="s">
        <v>1626</v>
      </c>
      <c r="M427" t="s">
        <v>735</v>
      </c>
      <c r="AA427" t="str">
        <f t="shared" si="18"/>
        <v>Doxycycline**# Capsule 100 mg #for prophylaxis of P. vivax</v>
      </c>
    </row>
    <row r="428" spans="2:27" x14ac:dyDescent="0.25">
      <c r="B428" s="1" t="s">
        <v>156</v>
      </c>
      <c r="C428" s="1" t="s">
        <v>157</v>
      </c>
      <c r="D428" s="1" t="s">
        <v>4</v>
      </c>
      <c r="E428" s="1" t="s">
        <v>159</v>
      </c>
      <c r="M428" t="s">
        <v>735</v>
      </c>
      <c r="AA428" t="str">
        <f t="shared" si="18"/>
        <v>Doxycycline**# Oral liquid 50 mg/ 5mL
#for prophylaxis of P. vivax</v>
      </c>
    </row>
    <row r="429" spans="2:27" x14ac:dyDescent="0.25">
      <c r="B429" s="1" t="s">
        <v>902</v>
      </c>
      <c r="C429" s="1" t="s">
        <v>903</v>
      </c>
      <c r="D429" s="1" t="s">
        <v>4</v>
      </c>
      <c r="E429" s="1" t="s">
        <v>391</v>
      </c>
      <c r="M429" t="s">
        <v>1680</v>
      </c>
      <c r="AA429" t="str">
        <f t="shared" si="18"/>
        <v>DPT vaccine As licensed</v>
      </c>
    </row>
    <row r="430" spans="2:27" x14ac:dyDescent="0.25">
      <c r="B430" s="1" t="s">
        <v>904</v>
      </c>
      <c r="C430" s="1" t="s">
        <v>905</v>
      </c>
      <c r="D430" s="1" t="s">
        <v>4</v>
      </c>
      <c r="E430" s="1" t="s">
        <v>391</v>
      </c>
      <c r="M430" t="s">
        <v>1680</v>
      </c>
      <c r="AA430" t="str">
        <f t="shared" si="18"/>
        <v>DPT+ Hib+ Hep B vaccine As licensed</v>
      </c>
    </row>
    <row r="431" spans="2:27" x14ac:dyDescent="0.25">
      <c r="B431" s="1" t="s">
        <v>906</v>
      </c>
      <c r="C431" s="1" t="s">
        <v>161</v>
      </c>
      <c r="D431" s="1" t="s">
        <v>19</v>
      </c>
      <c r="E431" s="1" t="s">
        <v>844</v>
      </c>
      <c r="G431" s="14">
        <v>62.96</v>
      </c>
      <c r="H431" s="1" t="s">
        <v>1622</v>
      </c>
      <c r="M431" t="s">
        <v>735</v>
      </c>
      <c r="N431" t="s">
        <v>1658</v>
      </c>
      <c r="O431" t="s">
        <v>1660</v>
      </c>
      <c r="AA431" t="str">
        <f t="shared" si="18"/>
        <v>Efavirenz Tablet 600 mg</v>
      </c>
    </row>
    <row r="432" spans="2:27" x14ac:dyDescent="0.25">
      <c r="B432" s="1" t="s">
        <v>906</v>
      </c>
      <c r="C432" s="1" t="s">
        <v>161</v>
      </c>
      <c r="D432" s="1" t="s">
        <v>19</v>
      </c>
      <c r="E432" s="1" t="s">
        <v>907</v>
      </c>
      <c r="M432" t="s">
        <v>735</v>
      </c>
      <c r="N432" t="s">
        <v>1658</v>
      </c>
      <c r="O432" t="s">
        <v>1660</v>
      </c>
      <c r="AA432" t="str">
        <f t="shared" si="18"/>
        <v>Efavirenz Tablet 200 mg (p)</v>
      </c>
    </row>
    <row r="433" spans="2:27" x14ac:dyDescent="0.25">
      <c r="B433" s="1" t="s">
        <v>908</v>
      </c>
      <c r="C433" s="1" t="s">
        <v>909</v>
      </c>
      <c r="D433" s="1" t="s">
        <v>4</v>
      </c>
      <c r="E433" s="1" t="s">
        <v>582</v>
      </c>
      <c r="G433" s="14">
        <v>1.95</v>
      </c>
      <c r="H433" s="14" t="s">
        <v>1624</v>
      </c>
      <c r="M433" t="s">
        <v>1667</v>
      </c>
      <c r="AA433" t="str">
        <f t="shared" si="18"/>
        <v>Enalapril Tablet 2.5 mg</v>
      </c>
    </row>
    <row r="434" spans="2:27" x14ac:dyDescent="0.25">
      <c r="B434" s="1" t="s">
        <v>908</v>
      </c>
      <c r="C434" s="1" t="s">
        <v>909</v>
      </c>
      <c r="D434" s="1" t="s">
        <v>4</v>
      </c>
      <c r="E434" s="1" t="s">
        <v>381</v>
      </c>
      <c r="G434" s="14">
        <v>3.3</v>
      </c>
      <c r="H434" s="14" t="s">
        <v>1624</v>
      </c>
      <c r="M434" t="s">
        <v>1667</v>
      </c>
      <c r="AA434" t="str">
        <f t="shared" si="18"/>
        <v>Enalapril Tablet 5 mg</v>
      </c>
    </row>
    <row r="435" spans="2:27" x14ac:dyDescent="0.25">
      <c r="B435" s="1" t="s">
        <v>910</v>
      </c>
      <c r="C435" s="1" t="s">
        <v>911</v>
      </c>
      <c r="D435" s="1" t="s">
        <v>19</v>
      </c>
      <c r="E435" s="1" t="s">
        <v>912</v>
      </c>
      <c r="M435" t="s">
        <v>1681</v>
      </c>
      <c r="AA435" t="str">
        <f t="shared" si="18"/>
        <v>Enoxaparin Injection 40 mg/ 0.4 mL</v>
      </c>
    </row>
    <row r="436" spans="2:27" x14ac:dyDescent="0.25">
      <c r="B436" s="1" t="s">
        <v>910</v>
      </c>
      <c r="C436" s="1" t="s">
        <v>911</v>
      </c>
      <c r="D436" s="1" t="s">
        <v>19</v>
      </c>
      <c r="E436" s="1" t="s">
        <v>913</v>
      </c>
      <c r="M436" t="s">
        <v>1681</v>
      </c>
      <c r="AA436" t="str">
        <f t="shared" si="18"/>
        <v>Enoxaparin Injection 60 mg/ 0.6 mL</v>
      </c>
    </row>
    <row r="437" spans="2:27" x14ac:dyDescent="0.25">
      <c r="B437" s="1" t="s">
        <v>914</v>
      </c>
      <c r="C437" s="1" t="s">
        <v>911</v>
      </c>
      <c r="D437" s="1" t="s">
        <v>19</v>
      </c>
      <c r="E437" s="1" t="s">
        <v>912</v>
      </c>
      <c r="M437" t="s">
        <v>1667</v>
      </c>
      <c r="AA437" t="str">
        <f t="shared" si="18"/>
        <v>Enoxaparin Injection 40 mg/ 0.4 mL</v>
      </c>
    </row>
    <row r="438" spans="2:27" x14ac:dyDescent="0.25">
      <c r="B438" s="1" t="s">
        <v>914</v>
      </c>
      <c r="C438" s="1" t="s">
        <v>911</v>
      </c>
      <c r="D438" s="1" t="s">
        <v>19</v>
      </c>
      <c r="E438" s="1" t="s">
        <v>913</v>
      </c>
      <c r="M438" t="s">
        <v>1667</v>
      </c>
      <c r="AA438" t="str">
        <f t="shared" si="18"/>
        <v>Enoxaparin Injection 60 mg/ 0.6 mL</v>
      </c>
    </row>
    <row r="439" spans="2:27" x14ac:dyDescent="0.25">
      <c r="B439" s="1">
        <v>27.2</v>
      </c>
      <c r="C439" s="1" t="s">
        <v>911</v>
      </c>
      <c r="D439" s="1" t="s">
        <v>19</v>
      </c>
      <c r="E439" s="1" t="s">
        <v>912</v>
      </c>
      <c r="M439" t="s">
        <v>1678</v>
      </c>
      <c r="AA439" t="str">
        <f t="shared" si="18"/>
        <v>Enoxaparin Injection 40 mg/ 0.4 mL</v>
      </c>
    </row>
    <row r="440" spans="2:27" x14ac:dyDescent="0.25">
      <c r="B440" s="1">
        <v>27.2</v>
      </c>
      <c r="C440" s="1" t="s">
        <v>911</v>
      </c>
      <c r="D440" s="1" t="s">
        <v>19</v>
      </c>
      <c r="E440" s="1" t="s">
        <v>913</v>
      </c>
      <c r="M440" t="s">
        <v>1678</v>
      </c>
      <c r="AA440" t="str">
        <f t="shared" si="18"/>
        <v>Enoxaparin Injection 60 mg/ 0.6 mL</v>
      </c>
    </row>
    <row r="441" spans="2:27" x14ac:dyDescent="0.25">
      <c r="B441" s="1" t="s">
        <v>162</v>
      </c>
      <c r="C441" s="1" t="s">
        <v>163</v>
      </c>
      <c r="D441" s="1" t="s">
        <v>19</v>
      </c>
      <c r="E441" s="1" t="s">
        <v>139</v>
      </c>
      <c r="G441" s="14">
        <v>75.31</v>
      </c>
      <c r="H441" s="14" t="s">
        <v>1619</v>
      </c>
      <c r="M441" t="s">
        <v>735</v>
      </c>
      <c r="N441" t="s">
        <v>1665</v>
      </c>
      <c r="AA441" t="str">
        <f t="shared" si="18"/>
        <v>Entecavir Tablet 0.5 mg</v>
      </c>
    </row>
    <row r="442" spans="2:27" x14ac:dyDescent="0.25">
      <c r="B442" s="1"/>
      <c r="C442" s="1"/>
      <c r="D442" s="1"/>
      <c r="E442" s="1"/>
      <c r="J442" t="s">
        <v>530</v>
      </c>
      <c r="K442" t="str">
        <f t="shared" si="19"/>
        <v xml:space="preserve"> </v>
      </c>
      <c r="L442">
        <f t="shared" si="20"/>
        <v>0</v>
      </c>
      <c r="AA442" t="str">
        <f t="shared" si="18"/>
        <v xml:space="preserve"> </v>
      </c>
    </row>
    <row r="443" spans="2:27" x14ac:dyDescent="0.25">
      <c r="B443" s="2" t="s">
        <v>915</v>
      </c>
      <c r="C443" s="1"/>
      <c r="D443" s="1"/>
      <c r="E443" s="1"/>
      <c r="J443" t="s">
        <v>530</v>
      </c>
      <c r="K443" t="str">
        <f t="shared" si="19"/>
        <v xml:space="preserve"> </v>
      </c>
      <c r="L443" t="str">
        <f t="shared" si="20"/>
        <v>6.7.2 Non-nucleoside Reverse Transcriptase Inhibitors</v>
      </c>
      <c r="AA443" t="str">
        <f t="shared" si="18"/>
        <v xml:space="preserve"> </v>
      </c>
    </row>
    <row r="444" spans="2:27" x14ac:dyDescent="0.25">
      <c r="B444" s="1" t="s">
        <v>162</v>
      </c>
      <c r="C444" s="1" t="s">
        <v>163</v>
      </c>
      <c r="D444" s="1" t="s">
        <v>19</v>
      </c>
      <c r="E444" s="1" t="s">
        <v>196</v>
      </c>
      <c r="G444" s="10">
        <v>116.15</v>
      </c>
      <c r="H444" s="13" t="s">
        <v>1617</v>
      </c>
      <c r="I444" s="13" t="s">
        <v>1618</v>
      </c>
      <c r="M444" t="s">
        <v>735</v>
      </c>
      <c r="N444" t="s">
        <v>1665</v>
      </c>
      <c r="AA444" t="str">
        <f t="shared" si="18"/>
        <v>Entecavir Tablet 1 mg</v>
      </c>
    </row>
    <row r="445" spans="2:27" x14ac:dyDescent="0.25">
      <c r="B445" s="1" t="s">
        <v>162</v>
      </c>
      <c r="C445" s="1" t="s">
        <v>163</v>
      </c>
      <c r="D445" s="1" t="s">
        <v>19</v>
      </c>
      <c r="E445" s="1" t="s">
        <v>164</v>
      </c>
      <c r="M445" t="s">
        <v>735</v>
      </c>
      <c r="N445" t="s">
        <v>1665</v>
      </c>
      <c r="AA445" t="str">
        <f t="shared" si="18"/>
        <v>Entecavir Oral liquid 0.05 mg/mL (p)</v>
      </c>
    </row>
    <row r="446" spans="2:27" x14ac:dyDescent="0.25">
      <c r="B446" s="1" t="s">
        <v>916</v>
      </c>
      <c r="C446" s="1" t="s">
        <v>917</v>
      </c>
      <c r="D446" s="1" t="s">
        <v>19</v>
      </c>
      <c r="E446" s="1" t="s">
        <v>918</v>
      </c>
      <c r="M446" t="s">
        <v>1681</v>
      </c>
      <c r="AA446" t="str">
        <f t="shared" si="18"/>
        <v>Erythropoietin Injection 10000 IU/mL</v>
      </c>
    </row>
    <row r="447" spans="2:27" x14ac:dyDescent="0.25">
      <c r="B447" s="1" t="s">
        <v>916</v>
      </c>
      <c r="C447" s="1" t="s">
        <v>917</v>
      </c>
      <c r="D447" s="1" t="s">
        <v>19</v>
      </c>
      <c r="E447" s="1" t="s">
        <v>919</v>
      </c>
      <c r="M447" t="s">
        <v>1681</v>
      </c>
      <c r="AA447" t="str">
        <f t="shared" si="18"/>
        <v>Erythropoietin Injection 2000 IU/mL</v>
      </c>
    </row>
    <row r="448" spans="2:27" x14ac:dyDescent="0.25">
      <c r="B448" s="1" t="s">
        <v>920</v>
      </c>
      <c r="C448" s="1" t="s">
        <v>921</v>
      </c>
      <c r="D448" s="1" t="s">
        <v>4</v>
      </c>
      <c r="E448" s="1" t="s">
        <v>381</v>
      </c>
      <c r="G448" s="14">
        <v>4.4800000000000004</v>
      </c>
      <c r="H448" s="14" t="s">
        <v>1624</v>
      </c>
      <c r="M448" t="s">
        <v>1669</v>
      </c>
      <c r="AA448" t="str">
        <f t="shared" si="18"/>
        <v>Escitalopram Tablet 5 mg</v>
      </c>
    </row>
    <row r="449" spans="2:27" x14ac:dyDescent="0.25">
      <c r="B449" s="1"/>
      <c r="C449" s="1"/>
      <c r="D449" s="1"/>
      <c r="E449" s="1"/>
      <c r="J449" t="s">
        <v>530</v>
      </c>
      <c r="K449" t="str">
        <f t="shared" si="19"/>
        <v xml:space="preserve"> </v>
      </c>
      <c r="L449">
        <f t="shared" si="20"/>
        <v>0</v>
      </c>
      <c r="AA449" t="str">
        <f t="shared" si="18"/>
        <v xml:space="preserve"> </v>
      </c>
    </row>
    <row r="450" spans="2:27" x14ac:dyDescent="0.25">
      <c r="B450" s="2" t="s">
        <v>922</v>
      </c>
      <c r="C450" s="1"/>
      <c r="D450" s="1"/>
      <c r="E450" s="1"/>
      <c r="J450" t="s">
        <v>530</v>
      </c>
      <c r="K450" t="str">
        <f t="shared" si="19"/>
        <v xml:space="preserve"> </v>
      </c>
      <c r="L450" t="str">
        <f t="shared" si="20"/>
        <v>6.7.3 Integrase Inhibitors</v>
      </c>
      <c r="AA450" t="str">
        <f t="shared" si="18"/>
        <v xml:space="preserve"> </v>
      </c>
    </row>
    <row r="451" spans="2:27" x14ac:dyDescent="0.25">
      <c r="B451" s="1" t="s">
        <v>920</v>
      </c>
      <c r="C451" s="1" t="s">
        <v>921</v>
      </c>
      <c r="D451" s="1" t="s">
        <v>4</v>
      </c>
      <c r="E451" s="1" t="s">
        <v>220</v>
      </c>
      <c r="G451" s="14">
        <v>8.0299999999999994</v>
      </c>
      <c r="H451" s="14" t="s">
        <v>1624</v>
      </c>
      <c r="M451" t="s">
        <v>1669</v>
      </c>
      <c r="AA451" t="str">
        <f t="shared" si="18"/>
        <v>Escitalopram Tablet 10 mg</v>
      </c>
    </row>
    <row r="452" spans="2:27" x14ac:dyDescent="0.25">
      <c r="B452" s="1" t="s">
        <v>920</v>
      </c>
      <c r="C452" s="1" t="s">
        <v>921</v>
      </c>
      <c r="D452" s="1" t="s">
        <v>4</v>
      </c>
      <c r="E452" s="1" t="s">
        <v>76</v>
      </c>
      <c r="G452" s="14">
        <v>12.81</v>
      </c>
      <c r="H452" s="14" t="s">
        <v>1624</v>
      </c>
      <c r="M452" t="s">
        <v>1669</v>
      </c>
      <c r="AA452" t="str">
        <f t="shared" si="18"/>
        <v>Escitalopram Tablet 20 mg</v>
      </c>
    </row>
    <row r="453" spans="2:27" x14ac:dyDescent="0.25">
      <c r="B453" s="1"/>
      <c r="C453" s="1"/>
      <c r="D453" s="1"/>
      <c r="E453" s="1"/>
      <c r="J453" t="s">
        <v>530</v>
      </c>
      <c r="K453" t="str">
        <f t="shared" si="19"/>
        <v xml:space="preserve"> </v>
      </c>
      <c r="L453">
        <f t="shared" si="20"/>
        <v>0</v>
      </c>
      <c r="AA453" t="str">
        <f t="shared" si="18"/>
        <v xml:space="preserve"> </v>
      </c>
    </row>
    <row r="454" spans="2:27" x14ac:dyDescent="0.25">
      <c r="B454" s="2" t="s">
        <v>923</v>
      </c>
      <c r="C454" s="1"/>
      <c r="D454" s="1"/>
      <c r="E454" s="1"/>
      <c r="J454" t="s">
        <v>530</v>
      </c>
      <c r="K454" t="str">
        <f t="shared" si="19"/>
        <v xml:space="preserve"> </v>
      </c>
      <c r="L454" t="str">
        <f t="shared" si="20"/>
        <v>6.7.4 Protease Inhibitors</v>
      </c>
      <c r="AA454" t="str">
        <f t="shared" si="18"/>
        <v xml:space="preserve"> </v>
      </c>
    </row>
    <row r="455" spans="2:27" x14ac:dyDescent="0.25">
      <c r="B455" s="1" t="s">
        <v>924</v>
      </c>
      <c r="C455" s="1" t="s">
        <v>925</v>
      </c>
      <c r="D455" s="1" t="s">
        <v>19</v>
      </c>
      <c r="E455" s="1" t="s">
        <v>643</v>
      </c>
      <c r="AA455" t="str">
        <f t="shared" si="18"/>
        <v>Esmolol Injection 10 mg/mL</v>
      </c>
    </row>
    <row r="456" spans="2:27" x14ac:dyDescent="0.25">
      <c r="B456" s="1" t="s">
        <v>926</v>
      </c>
      <c r="C456" s="1" t="s">
        <v>927</v>
      </c>
      <c r="D456" s="1" t="s">
        <v>4</v>
      </c>
      <c r="E456" s="1" t="s">
        <v>114</v>
      </c>
      <c r="M456" t="s">
        <v>735</v>
      </c>
      <c r="N456" t="s">
        <v>1655</v>
      </c>
      <c r="AA456" t="str">
        <f t="shared" si="18"/>
        <v>Ethambutol Tablet 200 mg</v>
      </c>
    </row>
    <row r="457" spans="2:27" x14ac:dyDescent="0.25">
      <c r="B457" s="1" t="s">
        <v>926</v>
      </c>
      <c r="C457" s="1" t="s">
        <v>927</v>
      </c>
      <c r="D457" s="1" t="s">
        <v>4</v>
      </c>
      <c r="E457" s="1" t="s">
        <v>511</v>
      </c>
      <c r="G457" s="14">
        <v>2.33</v>
      </c>
      <c r="H457" s="14" t="s">
        <v>1624</v>
      </c>
      <c r="M457" t="s">
        <v>735</v>
      </c>
      <c r="N457" t="s">
        <v>1655</v>
      </c>
      <c r="AA457" t="str">
        <f t="shared" ref="AA457:AA520" si="21">C457&amp;" "&amp;E457</f>
        <v>Ethambutol Tablet 400 mg</v>
      </c>
    </row>
    <row r="458" spans="2:27" x14ac:dyDescent="0.25">
      <c r="B458" s="1" t="s">
        <v>926</v>
      </c>
      <c r="C458" s="1" t="s">
        <v>927</v>
      </c>
      <c r="D458" s="1" t="s">
        <v>4</v>
      </c>
      <c r="E458" s="1" t="s">
        <v>844</v>
      </c>
      <c r="G458" s="14">
        <v>3.64</v>
      </c>
      <c r="H458" s="14" t="s">
        <v>1624</v>
      </c>
      <c r="M458" t="s">
        <v>735</v>
      </c>
      <c r="N458" t="s">
        <v>1655</v>
      </c>
      <c r="AA458" t="str">
        <f t="shared" si="21"/>
        <v>Ethambutol Tablet 600 mg</v>
      </c>
    </row>
    <row r="459" spans="2:27" x14ac:dyDescent="0.25">
      <c r="B459" s="1" t="s">
        <v>926</v>
      </c>
      <c r="C459" s="1" t="s">
        <v>927</v>
      </c>
      <c r="D459" s="1" t="s">
        <v>4</v>
      </c>
      <c r="E459" s="1" t="s">
        <v>5</v>
      </c>
      <c r="G459" s="14">
        <v>4.42</v>
      </c>
      <c r="H459" s="14" t="s">
        <v>1624</v>
      </c>
      <c r="M459" t="s">
        <v>735</v>
      </c>
      <c r="N459" t="s">
        <v>1655</v>
      </c>
      <c r="AA459" t="str">
        <f t="shared" si="21"/>
        <v>Ethambutol Tablet 800 mg</v>
      </c>
    </row>
    <row r="460" spans="2:27" x14ac:dyDescent="0.25">
      <c r="B460" s="1" t="s">
        <v>928</v>
      </c>
      <c r="C460" s="1" t="s">
        <v>929</v>
      </c>
      <c r="D460" s="1" t="s">
        <v>4</v>
      </c>
      <c r="E460" s="1" t="s">
        <v>930</v>
      </c>
      <c r="G460" s="14">
        <v>2.83</v>
      </c>
      <c r="H460" s="14" t="s">
        <v>1624</v>
      </c>
      <c r="AA460" t="str">
        <f t="shared" si="21"/>
        <v>Ethinylestradiol (A)+ Levonorgestrel (B) Tablet 0.03 mg (A) + Tablet 0.15  mg (B)</v>
      </c>
    </row>
    <row r="461" spans="2:27" x14ac:dyDescent="0.25">
      <c r="B461" s="1" t="s">
        <v>931</v>
      </c>
      <c r="C461" s="1" t="s">
        <v>932</v>
      </c>
      <c r="D461" s="1" t="s">
        <v>19</v>
      </c>
      <c r="E461" s="1" t="s">
        <v>309</v>
      </c>
      <c r="G461" s="10">
        <v>13.21</v>
      </c>
      <c r="H461" s="13" t="s">
        <v>1617</v>
      </c>
      <c r="I461" s="13" t="s">
        <v>1618</v>
      </c>
      <c r="M461" t="s">
        <v>735</v>
      </c>
      <c r="N461" t="s">
        <v>1655</v>
      </c>
      <c r="AA461" t="str">
        <f t="shared" si="21"/>
        <v>Ethionamide Tablet 250 mg</v>
      </c>
    </row>
    <row r="462" spans="2:27" x14ac:dyDescent="0.25">
      <c r="B462" s="1" t="s">
        <v>931</v>
      </c>
      <c r="C462" s="1" t="s">
        <v>932</v>
      </c>
      <c r="D462" s="1" t="s">
        <v>19</v>
      </c>
      <c r="E462" s="1" t="s">
        <v>933</v>
      </c>
      <c r="M462" t="s">
        <v>735</v>
      </c>
      <c r="N462" t="s">
        <v>1655</v>
      </c>
      <c r="AA462" t="str">
        <f t="shared" si="21"/>
        <v>Ethionamide Tablet 125 mg</v>
      </c>
    </row>
    <row r="463" spans="2:27" x14ac:dyDescent="0.25">
      <c r="B463" s="1"/>
      <c r="C463" s="1"/>
      <c r="D463" s="1"/>
      <c r="E463" s="1"/>
      <c r="J463" t="s">
        <v>530</v>
      </c>
      <c r="K463" t="str">
        <f t="shared" ref="K463:K507" si="22">C463&amp;" "&amp;E463</f>
        <v xml:space="preserve"> </v>
      </c>
      <c r="L463">
        <f t="shared" ref="L463:L507" si="23">B463</f>
        <v>0</v>
      </c>
      <c r="AA463" t="str">
        <f t="shared" si="21"/>
        <v xml:space="preserve"> </v>
      </c>
    </row>
    <row r="464" spans="2:27" x14ac:dyDescent="0.25">
      <c r="B464" s="2" t="s">
        <v>934</v>
      </c>
      <c r="C464" s="1"/>
      <c r="D464" s="1"/>
      <c r="E464" s="1"/>
      <c r="J464" t="s">
        <v>530</v>
      </c>
      <c r="K464" t="str">
        <f t="shared" si="22"/>
        <v xml:space="preserve"> </v>
      </c>
      <c r="L464" t="str">
        <f t="shared" si="23"/>
        <v>6.7.5 Medicines for treating Opportunistic Infections in People living with HIV</v>
      </c>
      <c r="AA464" t="str">
        <f t="shared" si="21"/>
        <v xml:space="preserve"> </v>
      </c>
    </row>
    <row r="465" spans="2:27" x14ac:dyDescent="0.25">
      <c r="B465" s="1" t="s">
        <v>935</v>
      </c>
      <c r="C465" s="1" t="s">
        <v>936</v>
      </c>
      <c r="D465" s="1" t="s">
        <v>4</v>
      </c>
      <c r="E465" s="1" t="s">
        <v>937</v>
      </c>
      <c r="AA465" t="str">
        <f t="shared" si="21"/>
        <v>Ethyl alcohol (Denatured) Solution 70%</v>
      </c>
    </row>
    <row r="466" spans="2:27" x14ac:dyDescent="0.25">
      <c r="B466" s="1" t="s">
        <v>938</v>
      </c>
      <c r="C466" s="1" t="s">
        <v>176</v>
      </c>
      <c r="D466" s="1" t="s">
        <v>8</v>
      </c>
      <c r="E466" s="1" t="s">
        <v>703</v>
      </c>
      <c r="G466" s="1">
        <v>30.78</v>
      </c>
      <c r="H466" s="1" t="s">
        <v>1622</v>
      </c>
      <c r="M466" t="s">
        <v>1668</v>
      </c>
      <c r="AA466" t="str">
        <f t="shared" si="21"/>
        <v>Etoposide Injection 20 mg/mL</v>
      </c>
    </row>
    <row r="467" spans="2:27" x14ac:dyDescent="0.25">
      <c r="B467" s="1" t="s">
        <v>938</v>
      </c>
      <c r="C467" s="1" t="s">
        <v>176</v>
      </c>
      <c r="D467" s="1" t="s">
        <v>8</v>
      </c>
      <c r="E467" s="1" t="s">
        <v>939</v>
      </c>
      <c r="G467" s="14">
        <v>50.51</v>
      </c>
      <c r="H467" s="1" t="s">
        <v>1622</v>
      </c>
      <c r="M467" t="s">
        <v>1668</v>
      </c>
      <c r="AA467" t="str">
        <f t="shared" si="21"/>
        <v>Etoposide Capsule  50 mg</v>
      </c>
    </row>
    <row r="468" spans="2:27" x14ac:dyDescent="0.25">
      <c r="B468" s="1" t="s">
        <v>940</v>
      </c>
      <c r="C468" s="1" t="s">
        <v>941</v>
      </c>
      <c r="D468" s="1" t="s">
        <v>19</v>
      </c>
      <c r="E468" s="1" t="s">
        <v>942</v>
      </c>
      <c r="M468" t="s">
        <v>1635</v>
      </c>
      <c r="O468" t="s">
        <v>1637</v>
      </c>
      <c r="AA468" t="str">
        <f t="shared" si="21"/>
        <v>Fentanyl Injection 50 mcg/mL</v>
      </c>
    </row>
    <row r="469" spans="2:27" x14ac:dyDescent="0.25">
      <c r="B469" s="1" t="s">
        <v>943</v>
      </c>
      <c r="C469" s="1" t="s">
        <v>944</v>
      </c>
      <c r="D469" s="1" t="s">
        <v>4</v>
      </c>
      <c r="E469" s="1" t="s">
        <v>945</v>
      </c>
      <c r="AA469" t="str">
        <f t="shared" si="21"/>
        <v>Ferrous Salt (A)+ Folic acid (B) Tablet 45 mg elemental iron (A) + 400 mcg (B)</v>
      </c>
    </row>
    <row r="470" spans="2:27" x14ac:dyDescent="0.25">
      <c r="B470" s="1"/>
      <c r="C470" s="1"/>
      <c r="D470" s="1"/>
      <c r="E470" s="1"/>
      <c r="J470" t="s">
        <v>530</v>
      </c>
      <c r="K470" t="str">
        <f t="shared" si="22"/>
        <v xml:space="preserve"> </v>
      </c>
      <c r="L470">
        <f t="shared" si="23"/>
        <v>0</v>
      </c>
      <c r="M470" t="s">
        <v>1681</v>
      </c>
      <c r="AA470" t="str">
        <f t="shared" si="21"/>
        <v xml:space="preserve"> </v>
      </c>
    </row>
    <row r="471" spans="2:27" x14ac:dyDescent="0.25">
      <c r="B471" s="2" t="s">
        <v>946</v>
      </c>
      <c r="C471" s="1"/>
      <c r="D471" s="1"/>
      <c r="E471" s="1"/>
      <c r="J471" t="s">
        <v>530</v>
      </c>
      <c r="K471" t="str">
        <f t="shared" si="22"/>
        <v xml:space="preserve"> </v>
      </c>
      <c r="L471" t="str">
        <f t="shared" si="23"/>
        <v>6.7.6 Additional Medicines for Syndromic Management of Sexually Transmitted Infections</v>
      </c>
      <c r="AA471" t="str">
        <f t="shared" si="21"/>
        <v xml:space="preserve"> </v>
      </c>
    </row>
    <row r="472" spans="2:27" x14ac:dyDescent="0.25">
      <c r="B472" s="1" t="s">
        <v>943</v>
      </c>
      <c r="C472" s="1" t="s">
        <v>944</v>
      </c>
      <c r="D472" s="1" t="s">
        <v>4</v>
      </c>
      <c r="E472" s="1" t="s">
        <v>947</v>
      </c>
      <c r="M472" t="s">
        <v>1681</v>
      </c>
      <c r="AA472" t="str">
        <f t="shared" si="21"/>
        <v>Ferrous Salt (A)+ Folic acid (B) Tablet 100 mg elemental iron (A) + 500 mcg (B)</v>
      </c>
    </row>
    <row r="473" spans="2:27" x14ac:dyDescent="0.25">
      <c r="B473" s="1"/>
      <c r="C473" s="1"/>
      <c r="D473" s="1"/>
      <c r="E473" s="1"/>
      <c r="J473" t="s">
        <v>530</v>
      </c>
      <c r="K473" t="str">
        <f t="shared" si="22"/>
        <v xml:space="preserve"> </v>
      </c>
      <c r="L473">
        <f t="shared" si="23"/>
        <v>0</v>
      </c>
      <c r="AA473" t="str">
        <f t="shared" si="21"/>
        <v xml:space="preserve"> </v>
      </c>
    </row>
    <row r="474" spans="2:27" x14ac:dyDescent="0.25">
      <c r="B474" s="2" t="s">
        <v>948</v>
      </c>
      <c r="C474" s="1"/>
      <c r="D474" s="1"/>
      <c r="E474" s="1"/>
      <c r="J474" t="s">
        <v>530</v>
      </c>
      <c r="K474" t="str">
        <f t="shared" si="22"/>
        <v xml:space="preserve"> </v>
      </c>
      <c r="L474" t="str">
        <f t="shared" si="23"/>
        <v>Section 6.8 -Medicines used in Hepatitis B and Hepatitis C</v>
      </c>
      <c r="AA474" t="str">
        <f t="shared" si="21"/>
        <v xml:space="preserve"> </v>
      </c>
    </row>
    <row r="475" spans="2:27" x14ac:dyDescent="0.25">
      <c r="B475" s="1" t="s">
        <v>943</v>
      </c>
      <c r="C475" s="1" t="s">
        <v>944</v>
      </c>
      <c r="D475" s="1" t="s">
        <v>4</v>
      </c>
      <c r="E475" s="1" t="s">
        <v>949</v>
      </c>
      <c r="M475" t="s">
        <v>1681</v>
      </c>
      <c r="AA475" t="str">
        <f t="shared" si="21"/>
        <v>Ferrous Salt (A)+ Folic acid (B) Oral liquid 20 mg elemental iron
(A) + 100 mcg/mL (B) (p)</v>
      </c>
    </row>
    <row r="476" spans="2:27" x14ac:dyDescent="0.25">
      <c r="B476" s="1" t="s">
        <v>180</v>
      </c>
      <c r="C476" s="1" t="s">
        <v>181</v>
      </c>
      <c r="D476" s="1" t="s">
        <v>4</v>
      </c>
      <c r="E476" s="1" t="s">
        <v>950</v>
      </c>
      <c r="M476" t="s">
        <v>1681</v>
      </c>
      <c r="AA476" t="str">
        <f t="shared" si="21"/>
        <v>Ferrous salts
(a) Iron Dextran
(b) Iron sorbitol citrate complex Tablet equivalent to 60 mg of elemental iron</v>
      </c>
    </row>
    <row r="477" spans="2:27" x14ac:dyDescent="0.25">
      <c r="B477" s="1" t="s">
        <v>180</v>
      </c>
      <c r="C477" s="1" t="s">
        <v>181</v>
      </c>
      <c r="D477" s="1" t="s">
        <v>4</v>
      </c>
      <c r="E477" s="1" t="s">
        <v>182</v>
      </c>
      <c r="M477" t="s">
        <v>1681</v>
      </c>
      <c r="AA477" t="str">
        <f t="shared" si="21"/>
        <v>Ferrous salts
(a) Iron Dextran
(b) Iron sorbitol citrate complex Injection 50 mg/mL</v>
      </c>
    </row>
    <row r="478" spans="2:27" x14ac:dyDescent="0.25">
      <c r="B478" s="1" t="s">
        <v>180</v>
      </c>
      <c r="C478" s="1" t="s">
        <v>181</v>
      </c>
      <c r="D478" s="1" t="s">
        <v>4</v>
      </c>
      <c r="E478" s="1" t="s">
        <v>182</v>
      </c>
      <c r="M478" t="s">
        <v>1681</v>
      </c>
      <c r="AA478" t="str">
        <f t="shared" si="21"/>
        <v>Ferrous salts
(a) Iron Dextran
(b) Iron sorbitol citrate complex Injection 50 mg/mL</v>
      </c>
    </row>
    <row r="479" spans="2:27" x14ac:dyDescent="0.25">
      <c r="B479" s="1" t="s">
        <v>951</v>
      </c>
      <c r="C479" s="1" t="s">
        <v>952</v>
      </c>
      <c r="D479" s="1" t="s">
        <v>8</v>
      </c>
      <c r="E479" s="1" t="s">
        <v>953</v>
      </c>
      <c r="AA479" t="str">
        <f t="shared" si="21"/>
        <v>Filgrastim Injection 300 mcg</v>
      </c>
    </row>
    <row r="480" spans="2:27" x14ac:dyDescent="0.25">
      <c r="B480" s="1" t="s">
        <v>178</v>
      </c>
      <c r="C480" s="1" t="s">
        <v>179</v>
      </c>
      <c r="D480" s="1" t="s">
        <v>4</v>
      </c>
      <c r="E480" s="1" t="s">
        <v>28</v>
      </c>
      <c r="G480" s="14">
        <v>8.6300000000000008</v>
      </c>
      <c r="H480" s="14" t="s">
        <v>1627</v>
      </c>
      <c r="M480" t="s">
        <v>735</v>
      </c>
      <c r="N480" t="s">
        <v>1656</v>
      </c>
      <c r="AA480" t="str">
        <f t="shared" si="21"/>
        <v>Fluconazole Tablet 50 mg</v>
      </c>
    </row>
    <row r="481" spans="2:27" x14ac:dyDescent="0.25">
      <c r="B481" s="1" t="s">
        <v>178</v>
      </c>
      <c r="C481" s="1" t="s">
        <v>179</v>
      </c>
      <c r="D481" s="1" t="s">
        <v>4</v>
      </c>
      <c r="E481" s="1" t="s">
        <v>29</v>
      </c>
      <c r="G481" s="15">
        <v>6.8</v>
      </c>
      <c r="H481" s="14" t="s">
        <v>1624</v>
      </c>
      <c r="I481" s="15"/>
      <c r="J481" s="14"/>
      <c r="M481" t="s">
        <v>735</v>
      </c>
      <c r="N481" t="s">
        <v>1656</v>
      </c>
      <c r="AA481" t="str">
        <f t="shared" si="21"/>
        <v>Fluconazole Tablet 100 mg</v>
      </c>
    </row>
    <row r="482" spans="2:27" x14ac:dyDescent="0.25">
      <c r="B482" s="1" t="s">
        <v>178</v>
      </c>
      <c r="C482" s="1" t="s">
        <v>179</v>
      </c>
      <c r="D482" s="1" t="s">
        <v>4</v>
      </c>
      <c r="E482" s="1" t="s">
        <v>102</v>
      </c>
      <c r="G482" s="14">
        <v>10.76</v>
      </c>
      <c r="H482" s="1" t="s">
        <v>1622</v>
      </c>
      <c r="M482" t="s">
        <v>735</v>
      </c>
      <c r="N482" t="s">
        <v>1656</v>
      </c>
      <c r="AA482" t="str">
        <f t="shared" si="21"/>
        <v>Fluconazole Tablet 150 mg</v>
      </c>
    </row>
    <row r="483" spans="2:27" x14ac:dyDescent="0.25">
      <c r="B483" s="1" t="s">
        <v>178</v>
      </c>
      <c r="C483" s="1" t="s">
        <v>179</v>
      </c>
      <c r="D483" s="1" t="s">
        <v>4</v>
      </c>
      <c r="E483" s="1" t="s">
        <v>114</v>
      </c>
      <c r="G483" s="14">
        <v>15.57</v>
      </c>
      <c r="H483" s="14" t="s">
        <v>1624</v>
      </c>
      <c r="M483" t="s">
        <v>735</v>
      </c>
      <c r="N483" t="s">
        <v>1656</v>
      </c>
      <c r="AA483" t="str">
        <f t="shared" si="21"/>
        <v>Fluconazole Tablet 200 mg</v>
      </c>
    </row>
    <row r="484" spans="2:27" x14ac:dyDescent="0.25">
      <c r="B484" s="1"/>
      <c r="C484" s="1"/>
      <c r="D484" s="1"/>
      <c r="E484" s="1"/>
      <c r="J484" t="s">
        <v>530</v>
      </c>
      <c r="K484" t="str">
        <f t="shared" si="22"/>
        <v xml:space="preserve"> </v>
      </c>
      <c r="L484">
        <f t="shared" si="23"/>
        <v>0</v>
      </c>
      <c r="AA484" t="str">
        <f t="shared" si="21"/>
        <v xml:space="preserve"> </v>
      </c>
    </row>
    <row r="485" spans="2:27" x14ac:dyDescent="0.25">
      <c r="B485" s="2" t="s">
        <v>954</v>
      </c>
      <c r="C485" s="1"/>
      <c r="D485" s="1"/>
      <c r="E485" s="1"/>
      <c r="J485" t="s">
        <v>530</v>
      </c>
      <c r="K485" t="str">
        <f t="shared" si="22"/>
        <v xml:space="preserve"> </v>
      </c>
      <c r="L485" t="str">
        <f t="shared" si="23"/>
        <v>Section 6.9 -Antiprotozoal Medicines</v>
      </c>
      <c r="AA485" t="str">
        <f t="shared" si="21"/>
        <v xml:space="preserve"> </v>
      </c>
    </row>
    <row r="486" spans="2:27" x14ac:dyDescent="0.25">
      <c r="B486" s="2" t="s">
        <v>955</v>
      </c>
      <c r="C486" s="1"/>
      <c r="D486" s="1"/>
      <c r="E486" s="1"/>
      <c r="J486" t="s">
        <v>530</v>
      </c>
      <c r="K486" t="str">
        <f t="shared" si="22"/>
        <v xml:space="preserve"> </v>
      </c>
      <c r="L486" t="str">
        <f t="shared" si="23"/>
        <v>6.9.1 - Medicines for Amoebiasis and other Parasitic Infections</v>
      </c>
      <c r="AA486" t="str">
        <f t="shared" si="21"/>
        <v xml:space="preserve"> </v>
      </c>
    </row>
    <row r="487" spans="2:27" x14ac:dyDescent="0.25">
      <c r="B487" s="1" t="s">
        <v>178</v>
      </c>
      <c r="C487" s="1" t="s">
        <v>179</v>
      </c>
      <c r="D487" s="1" t="s">
        <v>4</v>
      </c>
      <c r="E487" s="1" t="s">
        <v>511</v>
      </c>
      <c r="G487" s="10">
        <v>26.53</v>
      </c>
      <c r="H487" s="13" t="s">
        <v>1617</v>
      </c>
      <c r="I487" s="13" t="s">
        <v>1618</v>
      </c>
      <c r="M487" t="s">
        <v>735</v>
      </c>
      <c r="N487" t="s">
        <v>1656</v>
      </c>
      <c r="AA487" t="str">
        <f t="shared" si="21"/>
        <v>Fluconazole Tablet 400 mg</v>
      </c>
    </row>
    <row r="488" spans="2:27" x14ac:dyDescent="0.25">
      <c r="B488" s="1" t="s">
        <v>178</v>
      </c>
      <c r="C488" s="1" t="s">
        <v>179</v>
      </c>
      <c r="D488" s="1" t="s">
        <v>4</v>
      </c>
      <c r="E488" s="1" t="s">
        <v>956</v>
      </c>
      <c r="M488" t="s">
        <v>735</v>
      </c>
      <c r="N488" t="s">
        <v>1656</v>
      </c>
      <c r="AA488" t="str">
        <f t="shared" si="21"/>
        <v>Fluconazole Oral liquid 50 mg/ 5 mL (p)</v>
      </c>
    </row>
    <row r="489" spans="2:27" x14ac:dyDescent="0.25">
      <c r="B489" s="1" t="s">
        <v>178</v>
      </c>
      <c r="C489" s="1" t="s">
        <v>179</v>
      </c>
      <c r="D489" s="1" t="s">
        <v>19</v>
      </c>
      <c r="E489" s="1" t="s">
        <v>957</v>
      </c>
      <c r="M489" t="s">
        <v>735</v>
      </c>
      <c r="N489" t="s">
        <v>1656</v>
      </c>
      <c r="AA489" t="str">
        <f t="shared" si="21"/>
        <v>Fluconazole Injection 200 mg / 100 mL</v>
      </c>
    </row>
    <row r="490" spans="2:27" x14ac:dyDescent="0.25">
      <c r="B490" s="1" t="s">
        <v>186</v>
      </c>
      <c r="C490" s="1" t="s">
        <v>187</v>
      </c>
      <c r="D490" s="1" t="s">
        <v>19</v>
      </c>
      <c r="E490" s="1" t="s">
        <v>188</v>
      </c>
      <c r="AA490" t="str">
        <f t="shared" si="21"/>
        <v>Fludrocortisone Tablet 0.1 mg</v>
      </c>
    </row>
    <row r="491" spans="2:27" x14ac:dyDescent="0.25">
      <c r="B491" s="1"/>
      <c r="C491" s="1"/>
      <c r="D491" s="1"/>
      <c r="E491" s="1"/>
      <c r="J491" t="s">
        <v>530</v>
      </c>
      <c r="K491" t="str">
        <f t="shared" si="22"/>
        <v xml:space="preserve"> </v>
      </c>
      <c r="L491">
        <f t="shared" si="23"/>
        <v>0</v>
      </c>
      <c r="AA491" t="str">
        <f t="shared" si="21"/>
        <v xml:space="preserve"> </v>
      </c>
    </row>
    <row r="492" spans="2:27" x14ac:dyDescent="0.25">
      <c r="B492" s="2" t="s">
        <v>958</v>
      </c>
      <c r="C492" s="1"/>
      <c r="D492" s="1"/>
      <c r="E492" s="1"/>
      <c r="J492" t="s">
        <v>530</v>
      </c>
      <c r="K492" t="str">
        <f t="shared" si="22"/>
        <v xml:space="preserve"> </v>
      </c>
      <c r="L492" t="str">
        <f t="shared" si="23"/>
        <v>6.9.2 - Antileishmaniasis Medicines</v>
      </c>
      <c r="AA492" t="str">
        <f t="shared" si="21"/>
        <v xml:space="preserve"> </v>
      </c>
    </row>
    <row r="493" spans="2:27" x14ac:dyDescent="0.25">
      <c r="B493" s="1" t="s">
        <v>959</v>
      </c>
      <c r="C493" s="1" t="s">
        <v>960</v>
      </c>
      <c r="D493" s="1" t="s">
        <v>4</v>
      </c>
      <c r="E493" s="1" t="s">
        <v>220</v>
      </c>
      <c r="G493" s="10">
        <v>4.3</v>
      </c>
      <c r="H493" s="13" t="s">
        <v>1617</v>
      </c>
      <c r="I493" s="13" t="s">
        <v>1618</v>
      </c>
      <c r="M493" t="s">
        <v>651</v>
      </c>
      <c r="O493" t="s">
        <v>1644</v>
      </c>
      <c r="AA493" t="str">
        <f t="shared" si="21"/>
        <v>Flunarizine Tablet 10 mg</v>
      </c>
    </row>
    <row r="494" spans="2:27" x14ac:dyDescent="0.25">
      <c r="B494" s="1" t="s">
        <v>959</v>
      </c>
      <c r="C494" s="1" t="s">
        <v>960</v>
      </c>
      <c r="D494" s="1" t="s">
        <v>4</v>
      </c>
      <c r="E494" s="1" t="s">
        <v>659</v>
      </c>
      <c r="G494" s="10">
        <v>2.21</v>
      </c>
      <c r="H494" s="13" t="s">
        <v>1617</v>
      </c>
      <c r="I494" s="13" t="s">
        <v>1618</v>
      </c>
      <c r="M494" t="s">
        <v>651</v>
      </c>
      <c r="O494" t="s">
        <v>1644</v>
      </c>
      <c r="AA494" t="str">
        <f t="shared" si="21"/>
        <v>Flunarizine Tablet  5 mg</v>
      </c>
    </row>
    <row r="495" spans="2:27" x14ac:dyDescent="0.25">
      <c r="B495" s="1" t="s">
        <v>189</v>
      </c>
      <c r="C495" s="1" t="s">
        <v>190</v>
      </c>
      <c r="D495" s="1" t="s">
        <v>19</v>
      </c>
      <c r="E495" s="1" t="s">
        <v>191</v>
      </c>
      <c r="AA495" t="str">
        <f t="shared" si="21"/>
        <v>Fluorescein Ophthalmic Strips</v>
      </c>
    </row>
    <row r="496" spans="2:27" x14ac:dyDescent="0.25">
      <c r="B496" s="1" t="s">
        <v>961</v>
      </c>
      <c r="C496" s="1" t="s">
        <v>962</v>
      </c>
      <c r="D496" s="1" t="s">
        <v>19</v>
      </c>
      <c r="E496" s="1" t="s">
        <v>963</v>
      </c>
      <c r="G496" s="10">
        <v>3.56</v>
      </c>
      <c r="H496" s="13" t="s">
        <v>1617</v>
      </c>
      <c r="I496" s="13" t="s">
        <v>1618</v>
      </c>
      <c r="M496" t="s">
        <v>1668</v>
      </c>
      <c r="AA496" t="str">
        <f t="shared" si="21"/>
        <v>Fluoxetine Capsule 20 mg</v>
      </c>
    </row>
    <row r="497" spans="2:27" x14ac:dyDescent="0.25">
      <c r="B497" s="1" t="s">
        <v>964</v>
      </c>
      <c r="C497" s="1" t="s">
        <v>962</v>
      </c>
      <c r="D497" s="1" t="s">
        <v>4</v>
      </c>
      <c r="E497" s="1" t="s">
        <v>117</v>
      </c>
      <c r="G497" s="10">
        <v>2.96</v>
      </c>
      <c r="H497" s="13" t="s">
        <v>1617</v>
      </c>
      <c r="I497" s="13" t="s">
        <v>1618</v>
      </c>
      <c r="M497" t="s">
        <v>1669</v>
      </c>
      <c r="AA497" t="str">
        <f t="shared" si="21"/>
        <v>Fluoxetine Capsule 10 mg</v>
      </c>
    </row>
    <row r="498" spans="2:27" x14ac:dyDescent="0.25">
      <c r="B498" s="1"/>
      <c r="C498" s="1"/>
      <c r="D498" s="1"/>
      <c r="E498" s="1"/>
      <c r="J498" t="s">
        <v>530</v>
      </c>
      <c r="K498" t="str">
        <f t="shared" si="22"/>
        <v xml:space="preserve"> </v>
      </c>
      <c r="L498">
        <f t="shared" si="23"/>
        <v>0</v>
      </c>
      <c r="AA498" t="str">
        <f t="shared" si="21"/>
        <v xml:space="preserve"> </v>
      </c>
    </row>
    <row r="499" spans="2:27" x14ac:dyDescent="0.25">
      <c r="B499" s="2" t="s">
        <v>965</v>
      </c>
      <c r="C499" s="1"/>
      <c r="D499" s="1"/>
      <c r="E499" s="1"/>
      <c r="J499" t="s">
        <v>530</v>
      </c>
      <c r="K499" t="str">
        <f t="shared" si="22"/>
        <v xml:space="preserve"> </v>
      </c>
      <c r="L499" t="str">
        <f t="shared" si="23"/>
        <v>6.9.3 - Antipneumocystosis and Antitoxoplasmosis Medicines</v>
      </c>
      <c r="AA499" t="str">
        <f t="shared" si="21"/>
        <v xml:space="preserve"> </v>
      </c>
    </row>
    <row r="500" spans="2:27" x14ac:dyDescent="0.25">
      <c r="B500" s="1" t="s">
        <v>964</v>
      </c>
      <c r="C500" s="1" t="s">
        <v>962</v>
      </c>
      <c r="D500" s="1" t="s">
        <v>4</v>
      </c>
      <c r="E500" s="1" t="s">
        <v>963</v>
      </c>
      <c r="G500" s="10">
        <v>3.56</v>
      </c>
      <c r="H500" s="13" t="s">
        <v>1617</v>
      </c>
      <c r="I500" s="13" t="s">
        <v>1618</v>
      </c>
      <c r="M500" t="s">
        <v>1669</v>
      </c>
      <c r="AA500" t="str">
        <f t="shared" si="21"/>
        <v>Fluoxetine Capsule 20 mg</v>
      </c>
    </row>
    <row r="501" spans="2:27" x14ac:dyDescent="0.25">
      <c r="B501" s="1" t="s">
        <v>964</v>
      </c>
      <c r="C501" s="1" t="s">
        <v>962</v>
      </c>
      <c r="D501" s="1" t="s">
        <v>4</v>
      </c>
      <c r="E501" s="1" t="s">
        <v>966</v>
      </c>
      <c r="G501" s="10">
        <v>5.79</v>
      </c>
      <c r="H501" s="13" t="s">
        <v>1617</v>
      </c>
      <c r="I501" s="13" t="s">
        <v>1618</v>
      </c>
      <c r="M501" t="s">
        <v>1669</v>
      </c>
      <c r="AA501" t="str">
        <f t="shared" si="21"/>
        <v>Fluoxetine Capsule 40 mg</v>
      </c>
    </row>
    <row r="502" spans="2:27" x14ac:dyDescent="0.25">
      <c r="B502" s="1" t="s">
        <v>964</v>
      </c>
      <c r="C502" s="1" t="s">
        <v>962</v>
      </c>
      <c r="D502" s="1" t="s">
        <v>4</v>
      </c>
      <c r="E502" s="1" t="s">
        <v>967</v>
      </c>
      <c r="G502" s="10">
        <v>9.9</v>
      </c>
      <c r="H502" s="13" t="s">
        <v>1617</v>
      </c>
      <c r="I502" s="13" t="s">
        <v>1618</v>
      </c>
      <c r="M502" t="s">
        <v>1669</v>
      </c>
      <c r="AA502" t="str">
        <f t="shared" si="21"/>
        <v>Fluoxetine Capsule 60 mg</v>
      </c>
    </row>
    <row r="503" spans="2:27" x14ac:dyDescent="0.25">
      <c r="B503" s="1" t="s">
        <v>968</v>
      </c>
      <c r="C503" s="1" t="s">
        <v>962</v>
      </c>
      <c r="D503" s="1" t="s">
        <v>19</v>
      </c>
      <c r="E503" s="1" t="s">
        <v>117</v>
      </c>
      <c r="G503" s="10">
        <v>2.96</v>
      </c>
      <c r="H503" s="13" t="s">
        <v>1617</v>
      </c>
      <c r="I503" s="13" t="s">
        <v>1618</v>
      </c>
      <c r="M503" t="s">
        <v>1669</v>
      </c>
      <c r="AA503" t="str">
        <f t="shared" si="21"/>
        <v>Fluoxetine Capsule 10 mg</v>
      </c>
    </row>
    <row r="504" spans="2:27" x14ac:dyDescent="0.25">
      <c r="B504" s="1" t="s">
        <v>968</v>
      </c>
      <c r="C504" s="1" t="s">
        <v>962</v>
      </c>
      <c r="D504" s="1" t="s">
        <v>19</v>
      </c>
      <c r="E504" s="1" t="s">
        <v>963</v>
      </c>
      <c r="G504" s="10">
        <v>3.56</v>
      </c>
      <c r="H504" s="13" t="s">
        <v>1617</v>
      </c>
      <c r="I504" s="13" t="s">
        <v>1618</v>
      </c>
      <c r="M504" t="s">
        <v>1669</v>
      </c>
      <c r="AA504" t="str">
        <f t="shared" si="21"/>
        <v>Fluoxetine Capsule 20 mg</v>
      </c>
    </row>
    <row r="505" spans="2:27" x14ac:dyDescent="0.25">
      <c r="B505" s="1"/>
      <c r="C505" s="1"/>
      <c r="D505" s="1"/>
      <c r="E505" s="1"/>
      <c r="J505" t="s">
        <v>530</v>
      </c>
      <c r="K505" t="str">
        <f t="shared" si="22"/>
        <v xml:space="preserve"> </v>
      </c>
      <c r="L505">
        <f t="shared" si="23"/>
        <v>0</v>
      </c>
      <c r="AA505" t="str">
        <f t="shared" si="21"/>
        <v xml:space="preserve"> </v>
      </c>
    </row>
    <row r="506" spans="2:27" x14ac:dyDescent="0.25">
      <c r="B506" s="2" t="s">
        <v>969</v>
      </c>
      <c r="C506" s="1"/>
      <c r="D506" s="1"/>
      <c r="E506" s="1"/>
      <c r="J506" t="s">
        <v>530</v>
      </c>
      <c r="K506" t="str">
        <f t="shared" si="22"/>
        <v xml:space="preserve"> </v>
      </c>
      <c r="L506" t="str">
        <f t="shared" si="23"/>
        <v>6.10-Antimalarial Medicines</v>
      </c>
      <c r="AA506" t="str">
        <f t="shared" si="21"/>
        <v xml:space="preserve"> </v>
      </c>
    </row>
    <row r="507" spans="2:27" x14ac:dyDescent="0.25">
      <c r="B507" s="2" t="s">
        <v>970</v>
      </c>
      <c r="C507" s="1"/>
      <c r="D507" s="1"/>
      <c r="E507" s="1"/>
      <c r="J507" t="s">
        <v>530</v>
      </c>
      <c r="K507" t="str">
        <f t="shared" si="22"/>
        <v xml:space="preserve"> </v>
      </c>
      <c r="L507" t="str">
        <f t="shared" si="23"/>
        <v>6.10.1 - For curative treatment</v>
      </c>
      <c r="AA507" t="str">
        <f t="shared" si="21"/>
        <v xml:space="preserve"> </v>
      </c>
    </row>
    <row r="508" spans="2:27" x14ac:dyDescent="0.25">
      <c r="B508" s="1" t="s">
        <v>968</v>
      </c>
      <c r="C508" s="1" t="s">
        <v>962</v>
      </c>
      <c r="D508" s="1" t="s">
        <v>19</v>
      </c>
      <c r="E508" s="1" t="s">
        <v>966</v>
      </c>
      <c r="G508" s="10">
        <v>5.79</v>
      </c>
      <c r="H508" s="13" t="s">
        <v>1617</v>
      </c>
      <c r="I508" s="13" t="s">
        <v>1618</v>
      </c>
      <c r="M508" t="s">
        <v>1669</v>
      </c>
      <c r="AA508" t="str">
        <f t="shared" si="21"/>
        <v>Fluoxetine Capsule 40 mg</v>
      </c>
    </row>
    <row r="509" spans="2:27" x14ac:dyDescent="0.25">
      <c r="B509" s="1" t="s">
        <v>968</v>
      </c>
      <c r="C509" s="1" t="s">
        <v>962</v>
      </c>
      <c r="D509" s="1" t="s">
        <v>19</v>
      </c>
      <c r="E509" s="1" t="s">
        <v>967</v>
      </c>
      <c r="G509" s="10">
        <v>9.9</v>
      </c>
      <c r="H509" s="13" t="s">
        <v>1617</v>
      </c>
      <c r="I509" s="13" t="s">
        <v>1618</v>
      </c>
      <c r="M509" t="s">
        <v>1669</v>
      </c>
      <c r="AA509" t="str">
        <f t="shared" si="21"/>
        <v>Fluoxetine Capsule 60 mg</v>
      </c>
    </row>
    <row r="510" spans="2:27" x14ac:dyDescent="0.25">
      <c r="B510" s="1" t="s">
        <v>971</v>
      </c>
      <c r="C510" s="1" t="s">
        <v>972</v>
      </c>
      <c r="D510" s="1" t="s">
        <v>4</v>
      </c>
      <c r="E510" s="1" t="s">
        <v>862</v>
      </c>
      <c r="AA510" t="str">
        <f t="shared" si="21"/>
        <v>Fluphenazine Injection 25 mg/mL</v>
      </c>
    </row>
    <row r="511" spans="2:27" x14ac:dyDescent="0.25">
      <c r="B511" s="1" t="s">
        <v>194</v>
      </c>
      <c r="C511" s="1" t="s">
        <v>195</v>
      </c>
      <c r="D511" s="1" t="s">
        <v>4</v>
      </c>
      <c r="E511" s="1" t="s">
        <v>196</v>
      </c>
      <c r="M511" t="s">
        <v>1681</v>
      </c>
      <c r="AA511" t="str">
        <f t="shared" si="21"/>
        <v>Folic Acid Tablet 1 mg</v>
      </c>
    </row>
    <row r="512" spans="2:27" x14ac:dyDescent="0.25">
      <c r="B512" s="1" t="s">
        <v>194</v>
      </c>
      <c r="C512" s="1" t="s">
        <v>195</v>
      </c>
      <c r="D512" s="1" t="s">
        <v>4</v>
      </c>
      <c r="E512" s="1" t="s">
        <v>381</v>
      </c>
      <c r="G512" s="14">
        <v>1.35</v>
      </c>
      <c r="H512" s="1" t="s">
        <v>1622</v>
      </c>
      <c r="M512" t="s">
        <v>1681</v>
      </c>
      <c r="AA512" t="str">
        <f t="shared" si="21"/>
        <v>Folic Acid Tablet 5 mg</v>
      </c>
    </row>
    <row r="513" spans="2:27" x14ac:dyDescent="0.25">
      <c r="B513" s="1" t="s">
        <v>197</v>
      </c>
      <c r="C513" s="1" t="s">
        <v>198</v>
      </c>
      <c r="D513" s="1" t="s">
        <v>4</v>
      </c>
      <c r="E513" s="1" t="s">
        <v>199</v>
      </c>
      <c r="AA513" t="str">
        <f t="shared" si="21"/>
        <v>Framycetin Cream 1 %</v>
      </c>
    </row>
    <row r="514" spans="2:27" x14ac:dyDescent="0.25">
      <c r="B514" s="1" t="s">
        <v>973</v>
      </c>
      <c r="C514" s="1" t="s">
        <v>974</v>
      </c>
      <c r="D514" s="1" t="s">
        <v>19</v>
      </c>
      <c r="E514" s="1" t="s">
        <v>391</v>
      </c>
      <c r="AA514" t="str">
        <f t="shared" si="21"/>
        <v>Fresh frozen plasma As licensed</v>
      </c>
    </row>
    <row r="515" spans="2:27" x14ac:dyDescent="0.25">
      <c r="B515" s="1">
        <v>15.1</v>
      </c>
      <c r="C515" s="1" t="s">
        <v>975</v>
      </c>
      <c r="D515" s="1" t="s">
        <v>4</v>
      </c>
      <c r="E515" s="1" t="s">
        <v>640</v>
      </c>
      <c r="G515" s="14">
        <v>0.81</v>
      </c>
      <c r="H515" s="14" t="s">
        <v>1626</v>
      </c>
      <c r="M515" t="s">
        <v>1682</v>
      </c>
      <c r="AA515" t="str">
        <f t="shared" si="21"/>
        <v>Furosemide Tablet 40 mg</v>
      </c>
    </row>
    <row r="516" spans="2:27" x14ac:dyDescent="0.25">
      <c r="B516" s="1">
        <v>15.1</v>
      </c>
      <c r="C516" s="1" t="s">
        <v>975</v>
      </c>
      <c r="D516" s="1" t="s">
        <v>4</v>
      </c>
      <c r="E516" s="1" t="s">
        <v>976</v>
      </c>
      <c r="M516" t="s">
        <v>1682</v>
      </c>
      <c r="AA516" t="str">
        <f t="shared" si="21"/>
        <v xml:space="preserve">Furosemide Oral liquid 10 mg/mL </v>
      </c>
    </row>
    <row r="517" spans="2:27" x14ac:dyDescent="0.25">
      <c r="B517" s="1">
        <v>15.1</v>
      </c>
      <c r="C517" s="1" t="s">
        <v>975</v>
      </c>
      <c r="D517" s="1" t="s">
        <v>4</v>
      </c>
      <c r="E517" s="1" t="s">
        <v>867</v>
      </c>
      <c r="M517" t="s">
        <v>1682</v>
      </c>
      <c r="AA517" t="str">
        <f t="shared" si="21"/>
        <v>Furosemide Injection 10 mg/ mL</v>
      </c>
    </row>
    <row r="518" spans="2:27" x14ac:dyDescent="0.25">
      <c r="B518" s="1" t="s">
        <v>977</v>
      </c>
      <c r="C518" s="1" t="s">
        <v>978</v>
      </c>
      <c r="D518" s="1" t="s">
        <v>4</v>
      </c>
      <c r="E518" s="1" t="s">
        <v>979</v>
      </c>
      <c r="AA518" t="str">
        <f t="shared" si="21"/>
        <v>Fusidic acid Cream 2 %</v>
      </c>
    </row>
    <row r="519" spans="2:27" x14ac:dyDescent="0.25">
      <c r="B519" s="1" t="s">
        <v>980</v>
      </c>
      <c r="C519" s="1" t="s">
        <v>981</v>
      </c>
      <c r="D519" s="1" t="s">
        <v>8</v>
      </c>
      <c r="E519" s="1" t="s">
        <v>982</v>
      </c>
      <c r="AA519" t="str">
        <f t="shared" si="21"/>
        <v>Gadobenate dimeglumine Injection 529 mg/mL</v>
      </c>
    </row>
    <row r="520" spans="2:27" x14ac:dyDescent="0.25">
      <c r="B520" s="1" t="s">
        <v>983</v>
      </c>
      <c r="C520" s="1" t="s">
        <v>984</v>
      </c>
      <c r="D520" s="1" t="s">
        <v>8</v>
      </c>
      <c r="E520" s="1" t="s">
        <v>309</v>
      </c>
      <c r="G520" s="14">
        <v>211.49</v>
      </c>
      <c r="H520" s="14" t="s">
        <v>1626</v>
      </c>
      <c r="AA520" t="str">
        <f t="shared" si="21"/>
        <v>Gefitinib Tablet 250 mg</v>
      </c>
    </row>
    <row r="521" spans="2:27" x14ac:dyDescent="0.25">
      <c r="B521" s="1" t="s">
        <v>985</v>
      </c>
      <c r="C521" s="1" t="s">
        <v>986</v>
      </c>
      <c r="D521" s="1" t="s">
        <v>8</v>
      </c>
      <c r="E521" s="1" t="s">
        <v>606</v>
      </c>
      <c r="G521" s="14">
        <v>4987.6499999999996</v>
      </c>
      <c r="H521" s="14" t="s">
        <v>1624</v>
      </c>
      <c r="M521" t="s">
        <v>1668</v>
      </c>
      <c r="AA521" t="str">
        <f t="shared" ref="AA521:AA584" si="24">C521&amp;" "&amp;E521</f>
        <v>Gemcitabine Powder for Injection 1000 mg</v>
      </c>
    </row>
    <row r="522" spans="2:27" x14ac:dyDescent="0.25">
      <c r="B522" s="1" t="s">
        <v>985</v>
      </c>
      <c r="C522" s="1" t="s">
        <v>986</v>
      </c>
      <c r="D522" s="1" t="s">
        <v>8</v>
      </c>
      <c r="E522" s="1" t="s">
        <v>217</v>
      </c>
      <c r="G522" s="14">
        <v>1159.21</v>
      </c>
      <c r="H522" s="14" t="s">
        <v>1624</v>
      </c>
      <c r="M522" t="s">
        <v>1668</v>
      </c>
      <c r="AA522" t="str">
        <f t="shared" si="24"/>
        <v>Gemcitabine Powder for Injection 200 mg</v>
      </c>
    </row>
    <row r="523" spans="2:27" x14ac:dyDescent="0.25">
      <c r="B523" s="1" t="s">
        <v>987</v>
      </c>
      <c r="C523" s="1" t="s">
        <v>207</v>
      </c>
      <c r="D523" s="1" t="s">
        <v>4</v>
      </c>
      <c r="E523" s="1" t="s">
        <v>895</v>
      </c>
      <c r="M523" t="s">
        <v>735</v>
      </c>
      <c r="N523" t="s">
        <v>1651</v>
      </c>
      <c r="O523" t="s">
        <v>1652</v>
      </c>
      <c r="AA523" t="str">
        <f t="shared" si="24"/>
        <v>Gentamicin Injection 40 mg/mL</v>
      </c>
    </row>
    <row r="524" spans="2:27" x14ac:dyDescent="0.25">
      <c r="B524" s="1" t="s">
        <v>987</v>
      </c>
      <c r="C524" s="1" t="s">
        <v>207</v>
      </c>
      <c r="D524" s="1" t="s">
        <v>4</v>
      </c>
      <c r="E524" s="1" t="s">
        <v>988</v>
      </c>
      <c r="M524" t="s">
        <v>735</v>
      </c>
      <c r="N524" t="s">
        <v>1651</v>
      </c>
      <c r="O524" t="s">
        <v>1652</v>
      </c>
      <c r="AA524" t="str">
        <f t="shared" si="24"/>
        <v>Gentamicin Injection 10 mg/Ml</v>
      </c>
    </row>
    <row r="525" spans="2:27" x14ac:dyDescent="0.25">
      <c r="B525" s="1" t="s">
        <v>989</v>
      </c>
      <c r="C525" s="1" t="s">
        <v>990</v>
      </c>
      <c r="D525" s="1" t="s">
        <v>4</v>
      </c>
      <c r="E525" s="1" t="s">
        <v>140</v>
      </c>
      <c r="G525" s="10">
        <v>5.1100000000000003</v>
      </c>
      <c r="H525" s="13" t="s">
        <v>1617</v>
      </c>
      <c r="I525" s="13" t="s">
        <v>1618</v>
      </c>
      <c r="M525" t="s">
        <v>1675</v>
      </c>
      <c r="AA525" t="str">
        <f t="shared" si="24"/>
        <v>Glimepiride Tablet 2 mg</v>
      </c>
    </row>
    <row r="526" spans="2:27" x14ac:dyDescent="0.25">
      <c r="B526" s="1" t="s">
        <v>989</v>
      </c>
      <c r="C526" s="1" t="s">
        <v>990</v>
      </c>
      <c r="D526" s="1" t="s">
        <v>4</v>
      </c>
      <c r="E526" s="1" t="s">
        <v>196</v>
      </c>
      <c r="G526" s="10">
        <v>3.27</v>
      </c>
      <c r="H526" s="13" t="s">
        <v>1617</v>
      </c>
      <c r="I526" s="13" t="s">
        <v>1618</v>
      </c>
      <c r="M526" t="s">
        <v>1675</v>
      </c>
      <c r="AA526" t="str">
        <f t="shared" si="24"/>
        <v>Glimepiride Tablet 1 mg</v>
      </c>
    </row>
    <row r="527" spans="2:27" x14ac:dyDescent="0.25">
      <c r="B527" s="1"/>
      <c r="C527" s="1"/>
      <c r="D527" s="1"/>
      <c r="E527" s="1"/>
      <c r="J527" t="s">
        <v>530</v>
      </c>
      <c r="K527" t="str">
        <f t="shared" ref="K527:K534" si="25">C527&amp;" "&amp;E527</f>
        <v xml:space="preserve"> </v>
      </c>
      <c r="L527">
        <f t="shared" ref="L527:L534" si="26">B527</f>
        <v>0</v>
      </c>
      <c r="AA527" t="str">
        <f t="shared" si="24"/>
        <v xml:space="preserve"> </v>
      </c>
    </row>
    <row r="528" spans="2:27" x14ac:dyDescent="0.25">
      <c r="B528" s="2" t="s">
        <v>991</v>
      </c>
      <c r="C528" s="1"/>
      <c r="D528" s="1"/>
      <c r="E528" s="1"/>
      <c r="J528" t="s">
        <v>530</v>
      </c>
      <c r="K528" t="str">
        <f t="shared" si="25"/>
        <v xml:space="preserve"> </v>
      </c>
      <c r="L528" t="str">
        <f t="shared" si="26"/>
        <v>6.10.2 - For prophylaxis</v>
      </c>
      <c r="AA528" t="str">
        <f t="shared" si="24"/>
        <v xml:space="preserve"> </v>
      </c>
    </row>
    <row r="529" spans="2:27" x14ac:dyDescent="0.25">
      <c r="B529" s="1" t="s">
        <v>992</v>
      </c>
      <c r="C529" s="1" t="s">
        <v>993</v>
      </c>
      <c r="D529" s="1" t="s">
        <v>4</v>
      </c>
      <c r="E529" s="1" t="s">
        <v>994</v>
      </c>
      <c r="AA529" t="str">
        <f t="shared" si="24"/>
        <v>Glucose Injection 25 %</v>
      </c>
    </row>
    <row r="530" spans="2:27" x14ac:dyDescent="0.25">
      <c r="B530" s="1" t="s">
        <v>995</v>
      </c>
      <c r="C530" s="1" t="s">
        <v>993</v>
      </c>
      <c r="D530" s="1" t="s">
        <v>4</v>
      </c>
      <c r="E530" s="1" t="s">
        <v>855</v>
      </c>
      <c r="M530" t="s">
        <v>1683</v>
      </c>
      <c r="AA530" t="str">
        <f t="shared" si="24"/>
        <v>Glucose Injection 10 %</v>
      </c>
    </row>
    <row r="531" spans="2:27" x14ac:dyDescent="0.25">
      <c r="B531" s="1" t="s">
        <v>995</v>
      </c>
      <c r="C531" s="1" t="s">
        <v>993</v>
      </c>
      <c r="D531" s="1" t="s">
        <v>4</v>
      </c>
      <c r="E531" s="1" t="s">
        <v>994</v>
      </c>
      <c r="M531" t="s">
        <v>1683</v>
      </c>
      <c r="AA531" t="str">
        <f t="shared" si="24"/>
        <v>Glucose Injection 25 %</v>
      </c>
    </row>
    <row r="532" spans="2:27" x14ac:dyDescent="0.25">
      <c r="B532" s="1"/>
      <c r="C532" s="1"/>
      <c r="D532" s="1"/>
      <c r="E532" s="1"/>
      <c r="J532" t="s">
        <v>530</v>
      </c>
      <c r="K532" t="str">
        <f t="shared" si="25"/>
        <v xml:space="preserve"> </v>
      </c>
      <c r="L532">
        <f t="shared" si="26"/>
        <v>0</v>
      </c>
      <c r="AA532" t="str">
        <f t="shared" si="24"/>
        <v xml:space="preserve"> </v>
      </c>
    </row>
    <row r="533" spans="2:27" x14ac:dyDescent="0.25">
      <c r="B533" s="2" t="s">
        <v>996</v>
      </c>
      <c r="C533" s="1"/>
      <c r="D533" s="1"/>
      <c r="E533" s="1"/>
      <c r="J533" t="s">
        <v>530</v>
      </c>
      <c r="K533" t="str">
        <f t="shared" si="25"/>
        <v xml:space="preserve"> </v>
      </c>
      <c r="L533" t="str">
        <f t="shared" si="26"/>
        <v>Section 7 Anti-cancer agents including Immunosuppressives and Medicines used in Palliative Care</v>
      </c>
      <c r="AA533" t="str">
        <f t="shared" si="24"/>
        <v xml:space="preserve"> </v>
      </c>
    </row>
    <row r="534" spans="2:27" x14ac:dyDescent="0.25">
      <c r="B534" s="2" t="s">
        <v>997</v>
      </c>
      <c r="C534" s="1"/>
      <c r="D534" s="1"/>
      <c r="E534" s="1"/>
      <c r="J534" t="s">
        <v>530</v>
      </c>
      <c r="K534" t="str">
        <f t="shared" si="25"/>
        <v xml:space="preserve"> </v>
      </c>
      <c r="L534" t="str">
        <f t="shared" si="26"/>
        <v>7.1 - Antineoplastic medicines</v>
      </c>
      <c r="AA534" t="str">
        <f t="shared" si="24"/>
        <v xml:space="preserve"> </v>
      </c>
    </row>
    <row r="535" spans="2:27" x14ac:dyDescent="0.25">
      <c r="B535" s="1" t="s">
        <v>995</v>
      </c>
      <c r="C535" s="1" t="s">
        <v>993</v>
      </c>
      <c r="D535" s="1" t="s">
        <v>4</v>
      </c>
      <c r="E535" s="1" t="s">
        <v>998</v>
      </c>
      <c r="M535" t="s">
        <v>1683</v>
      </c>
      <c r="AA535" t="str">
        <f t="shared" si="24"/>
        <v>Glucose Injection 50 %</v>
      </c>
    </row>
    <row r="536" spans="2:27" x14ac:dyDescent="0.25">
      <c r="B536" s="1" t="s">
        <v>995</v>
      </c>
      <c r="C536" s="1" t="s">
        <v>993</v>
      </c>
      <c r="D536" s="1" t="s">
        <v>4</v>
      </c>
      <c r="E536" s="1" t="s">
        <v>999</v>
      </c>
      <c r="M536" t="s">
        <v>1683</v>
      </c>
      <c r="AA536" t="str">
        <f t="shared" si="24"/>
        <v>Glucose Injection 5 %</v>
      </c>
    </row>
    <row r="537" spans="2:27" x14ac:dyDescent="0.25">
      <c r="B537" s="1" t="s">
        <v>1000</v>
      </c>
      <c r="C537" s="1" t="s">
        <v>1001</v>
      </c>
      <c r="D537" s="1" t="s">
        <v>4</v>
      </c>
      <c r="E537" s="1" t="s">
        <v>1002</v>
      </c>
      <c r="AA537" t="str">
        <f t="shared" si="24"/>
        <v>Glucose(A) + Sodium chloride (B) Injection 5% (A) + 0.9 % (B)</v>
      </c>
    </row>
    <row r="538" spans="2:27" x14ac:dyDescent="0.25">
      <c r="B538" s="1" t="s">
        <v>200</v>
      </c>
      <c r="C538" s="1" t="s">
        <v>1003</v>
      </c>
      <c r="D538" s="1" t="s">
        <v>19</v>
      </c>
      <c r="E538" s="1" t="s">
        <v>609</v>
      </c>
      <c r="AA538" t="str">
        <f t="shared" si="24"/>
        <v>Glutaraldehyde As Licensed</v>
      </c>
    </row>
    <row r="539" spans="2:27" x14ac:dyDescent="0.25">
      <c r="B539" s="1" t="s">
        <v>1004</v>
      </c>
      <c r="C539" s="1" t="s">
        <v>1005</v>
      </c>
      <c r="D539" s="1" t="s">
        <v>4</v>
      </c>
      <c r="E539" s="1" t="s">
        <v>1006</v>
      </c>
      <c r="AA539" t="str">
        <f t="shared" si="24"/>
        <v>Glycerin/glycerol (as mentioned in IP) Topical</v>
      </c>
    </row>
    <row r="540" spans="2:27" x14ac:dyDescent="0.25">
      <c r="B540" s="1" t="s">
        <v>183</v>
      </c>
      <c r="C540" s="1" t="s">
        <v>1007</v>
      </c>
      <c r="D540" s="1" t="s">
        <v>4</v>
      </c>
      <c r="E540" s="1" t="s">
        <v>1008</v>
      </c>
      <c r="M540" t="s">
        <v>1667</v>
      </c>
      <c r="AA540" t="str">
        <f t="shared" si="24"/>
        <v>Glyceryl trinitrate Sublingual Tablet 0.5 mg</v>
      </c>
    </row>
    <row r="541" spans="2:27" x14ac:dyDescent="0.25">
      <c r="B541" s="1" t="s">
        <v>183</v>
      </c>
      <c r="C541" s="1" t="s">
        <v>1007</v>
      </c>
      <c r="D541" s="1" t="s">
        <v>19</v>
      </c>
      <c r="E541" s="1" t="s">
        <v>847</v>
      </c>
      <c r="G541" s="1">
        <v>5.52</v>
      </c>
      <c r="H541" s="1" t="s">
        <v>1622</v>
      </c>
      <c r="M541" t="s">
        <v>1667</v>
      </c>
      <c r="AA541" t="str">
        <f t="shared" si="24"/>
        <v>Glyceryl trinitrate Injection 5 mg/mL</v>
      </c>
    </row>
    <row r="542" spans="2:27" x14ac:dyDescent="0.25">
      <c r="B542" s="1" t="s">
        <v>1009</v>
      </c>
      <c r="C542" s="1" t="s">
        <v>1010</v>
      </c>
      <c r="D542" s="1" t="s">
        <v>19</v>
      </c>
      <c r="E542" s="1" t="s">
        <v>1011</v>
      </c>
      <c r="G542" s="14">
        <v>12.96</v>
      </c>
      <c r="H542" s="1" t="s">
        <v>1622</v>
      </c>
      <c r="M542" t="s">
        <v>1630</v>
      </c>
      <c r="O542" t="s">
        <v>1633</v>
      </c>
      <c r="AA542" t="str">
        <f t="shared" si="24"/>
        <v>Glycopyrrolate Injection 0.2 mg/mL</v>
      </c>
    </row>
    <row r="543" spans="2:27" x14ac:dyDescent="0.25">
      <c r="B543" s="1" t="s">
        <v>1012</v>
      </c>
      <c r="C543" s="1" t="s">
        <v>1013</v>
      </c>
      <c r="D543" s="1" t="s">
        <v>4</v>
      </c>
      <c r="E543" s="1" t="s">
        <v>309</v>
      </c>
      <c r="G543" s="14">
        <v>1.58</v>
      </c>
      <c r="H543" s="14" t="s">
        <v>1624</v>
      </c>
      <c r="M543" t="s">
        <v>735</v>
      </c>
      <c r="N543" t="s">
        <v>1656</v>
      </c>
      <c r="AA543" t="str">
        <f t="shared" si="24"/>
        <v>Griseofulvin Tablet 250 mg</v>
      </c>
    </row>
    <row r="544" spans="2:27" x14ac:dyDescent="0.25">
      <c r="B544" s="1" t="s">
        <v>1012</v>
      </c>
      <c r="C544" s="1" t="s">
        <v>1013</v>
      </c>
      <c r="D544" s="1" t="s">
        <v>4</v>
      </c>
      <c r="E544" s="1" t="s">
        <v>1014</v>
      </c>
      <c r="M544" t="s">
        <v>735</v>
      </c>
      <c r="N544" t="s">
        <v>1656</v>
      </c>
      <c r="AA544" t="str">
        <f t="shared" si="24"/>
        <v>Griseofulvin Tablet 375 mg</v>
      </c>
    </row>
    <row r="545" spans="2:27" x14ac:dyDescent="0.25">
      <c r="B545" s="1" t="s">
        <v>1012</v>
      </c>
      <c r="C545" s="1" t="s">
        <v>1013</v>
      </c>
      <c r="D545" s="1" t="s">
        <v>4</v>
      </c>
      <c r="E545" s="1" t="s">
        <v>933</v>
      </c>
      <c r="M545" t="s">
        <v>735</v>
      </c>
      <c r="N545" t="s">
        <v>1656</v>
      </c>
      <c r="AA545" t="str">
        <f t="shared" si="24"/>
        <v>Griseofulvin Tablet 125 mg</v>
      </c>
    </row>
    <row r="546" spans="2:27" x14ac:dyDescent="0.25">
      <c r="B546" s="1">
        <v>13.1</v>
      </c>
      <c r="C546" s="1" t="s">
        <v>1015</v>
      </c>
      <c r="D546" s="1" t="s">
        <v>19</v>
      </c>
      <c r="E546" s="1" t="s">
        <v>391</v>
      </c>
      <c r="AA546" t="str">
        <f t="shared" si="24"/>
        <v>Haemodialysis fluid As licensed</v>
      </c>
    </row>
    <row r="547" spans="2:27" x14ac:dyDescent="0.25">
      <c r="B547" s="1" t="s">
        <v>1016</v>
      </c>
      <c r="C547" s="1" t="s">
        <v>210</v>
      </c>
      <c r="D547" s="1" t="s">
        <v>19</v>
      </c>
      <c r="E547" s="1" t="s">
        <v>272</v>
      </c>
      <c r="G547" s="10">
        <v>1.37</v>
      </c>
      <c r="H547" s="13" t="s">
        <v>1617</v>
      </c>
      <c r="I547" s="13" t="s">
        <v>1618</v>
      </c>
      <c r="M547" t="s">
        <v>1668</v>
      </c>
      <c r="AA547" t="str">
        <f t="shared" si="24"/>
        <v>Haloperidol Tablet 1.5 mg</v>
      </c>
    </row>
    <row r="548" spans="2:27" x14ac:dyDescent="0.25">
      <c r="B548" s="1" t="s">
        <v>1016</v>
      </c>
      <c r="C548" s="1" t="s">
        <v>210</v>
      </c>
      <c r="D548" s="1" t="s">
        <v>19</v>
      </c>
      <c r="E548" s="1" t="s">
        <v>381</v>
      </c>
      <c r="G548" s="10">
        <v>3.18</v>
      </c>
      <c r="H548" s="13" t="s">
        <v>1617</v>
      </c>
      <c r="I548" s="13" t="s">
        <v>1618</v>
      </c>
      <c r="M548" t="s">
        <v>1668</v>
      </c>
      <c r="AA548" t="str">
        <f t="shared" si="24"/>
        <v>Haloperidol Tablet 5 mg</v>
      </c>
    </row>
    <row r="549" spans="2:27" x14ac:dyDescent="0.25">
      <c r="B549" s="1" t="s">
        <v>1016</v>
      </c>
      <c r="C549" s="1" t="s">
        <v>210</v>
      </c>
      <c r="D549" s="1" t="s">
        <v>19</v>
      </c>
      <c r="E549" s="1" t="s">
        <v>847</v>
      </c>
      <c r="M549" t="s">
        <v>1668</v>
      </c>
      <c r="AA549" t="str">
        <f t="shared" si="24"/>
        <v>Haloperidol Injection 5 mg/mL</v>
      </c>
    </row>
    <row r="550" spans="2:27" x14ac:dyDescent="0.25">
      <c r="B550" s="1" t="s">
        <v>209</v>
      </c>
      <c r="C550" s="1" t="s">
        <v>210</v>
      </c>
      <c r="D550" s="1" t="s">
        <v>19</v>
      </c>
      <c r="E550" s="1" t="s">
        <v>140</v>
      </c>
      <c r="M550" t="s">
        <v>1669</v>
      </c>
      <c r="AA550" t="str">
        <f t="shared" si="24"/>
        <v>Haloperidol Tablet 2 mg</v>
      </c>
    </row>
    <row r="551" spans="2:27" x14ac:dyDescent="0.25">
      <c r="B551" s="1" t="s">
        <v>209</v>
      </c>
      <c r="C551" s="1" t="s">
        <v>210</v>
      </c>
      <c r="D551" s="1" t="s">
        <v>19</v>
      </c>
      <c r="E551" s="1" t="s">
        <v>381</v>
      </c>
      <c r="G551" s="10">
        <v>3.18</v>
      </c>
      <c r="H551" s="13" t="s">
        <v>1617</v>
      </c>
      <c r="I551" s="13" t="s">
        <v>1618</v>
      </c>
      <c r="M551" t="s">
        <v>1669</v>
      </c>
      <c r="AA551" t="str">
        <f t="shared" si="24"/>
        <v>Haloperidol Tablet 5 mg</v>
      </c>
    </row>
    <row r="552" spans="2:27" x14ac:dyDescent="0.25">
      <c r="B552" s="1" t="s">
        <v>209</v>
      </c>
      <c r="C552" s="1" t="s">
        <v>210</v>
      </c>
      <c r="D552" s="1" t="s">
        <v>19</v>
      </c>
      <c r="E552" s="1" t="s">
        <v>220</v>
      </c>
      <c r="G552" s="10">
        <v>4.26</v>
      </c>
      <c r="H552" s="13" t="s">
        <v>1617</v>
      </c>
      <c r="I552" s="13" t="s">
        <v>1618</v>
      </c>
      <c r="M552" t="s">
        <v>1669</v>
      </c>
      <c r="AA552" t="str">
        <f t="shared" si="24"/>
        <v>Haloperidol Tablet 10 mg</v>
      </c>
    </row>
    <row r="553" spans="2:27" x14ac:dyDescent="0.25">
      <c r="B553" s="1" t="s">
        <v>209</v>
      </c>
      <c r="C553" s="1" t="s">
        <v>210</v>
      </c>
      <c r="D553" s="1" t="s">
        <v>19</v>
      </c>
      <c r="E553" s="1" t="s">
        <v>76</v>
      </c>
      <c r="M553" t="s">
        <v>1669</v>
      </c>
      <c r="AA553" t="str">
        <f t="shared" si="24"/>
        <v>Haloperidol Tablet 20 mg</v>
      </c>
    </row>
    <row r="554" spans="2:27" x14ac:dyDescent="0.25">
      <c r="B554" s="1" t="s">
        <v>209</v>
      </c>
      <c r="C554" s="1" t="s">
        <v>210</v>
      </c>
      <c r="D554" s="1" t="s">
        <v>19</v>
      </c>
      <c r="E554" s="1" t="s">
        <v>847</v>
      </c>
      <c r="M554" t="s">
        <v>1669</v>
      </c>
      <c r="AA554" t="str">
        <f t="shared" si="24"/>
        <v>Haloperidol Injection 5 mg/mL</v>
      </c>
    </row>
    <row r="555" spans="2:27" x14ac:dyDescent="0.25">
      <c r="B555" s="1" t="s">
        <v>209</v>
      </c>
      <c r="C555" s="1" t="s">
        <v>210</v>
      </c>
      <c r="D555" s="1" t="s">
        <v>19</v>
      </c>
      <c r="E555" s="1" t="s">
        <v>1017</v>
      </c>
      <c r="G555" s="14">
        <v>2</v>
      </c>
      <c r="H555" s="1" t="s">
        <v>1622</v>
      </c>
      <c r="M555" t="s">
        <v>1669</v>
      </c>
      <c r="AA555" t="str">
        <f t="shared" si="24"/>
        <v>Haloperidol Oral liquid 2 mg/5 mL</v>
      </c>
    </row>
    <row r="556" spans="2:27" x14ac:dyDescent="0.25">
      <c r="B556" s="1" t="s">
        <v>1018</v>
      </c>
      <c r="C556" s="1" t="s">
        <v>1019</v>
      </c>
      <c r="D556" s="1" t="s">
        <v>19</v>
      </c>
      <c r="E556" s="1" t="s">
        <v>1020</v>
      </c>
      <c r="M556" t="s">
        <v>1630</v>
      </c>
      <c r="O556" t="s">
        <v>1631</v>
      </c>
      <c r="AA556" t="str">
        <f t="shared" si="24"/>
        <v>Halothane Liquid for inhalation</v>
      </c>
    </row>
    <row r="557" spans="2:27" x14ac:dyDescent="0.25">
      <c r="B557" s="1" t="s">
        <v>1021</v>
      </c>
      <c r="C557" s="1" t="s">
        <v>1022</v>
      </c>
      <c r="D557" s="1" t="s">
        <v>19</v>
      </c>
      <c r="E557" s="1" t="s">
        <v>1023</v>
      </c>
      <c r="G557" s="10">
        <v>18.920000000000002</v>
      </c>
      <c r="H557" s="13" t="s">
        <v>1617</v>
      </c>
      <c r="I557" s="13" t="s">
        <v>1618</v>
      </c>
      <c r="M557" t="s">
        <v>1681</v>
      </c>
      <c r="AA557" t="str">
        <f t="shared" si="24"/>
        <v>Heparin Injection 1000 IU/mL</v>
      </c>
    </row>
    <row r="558" spans="2:27" x14ac:dyDescent="0.25">
      <c r="B558" s="1" t="s">
        <v>1021</v>
      </c>
      <c r="C558" s="1" t="s">
        <v>1022</v>
      </c>
      <c r="D558" s="1" t="s">
        <v>19</v>
      </c>
      <c r="E558" s="1" t="s">
        <v>1024</v>
      </c>
      <c r="G558" s="10">
        <v>53.48</v>
      </c>
      <c r="H558" s="13" t="s">
        <v>1617</v>
      </c>
      <c r="I558" s="13" t="s">
        <v>1618</v>
      </c>
      <c r="M558" t="s">
        <v>1681</v>
      </c>
      <c r="AA558" t="str">
        <f t="shared" si="24"/>
        <v>Heparin Injection 5000 IU/mL</v>
      </c>
    </row>
    <row r="559" spans="2:27" x14ac:dyDescent="0.25">
      <c r="B559" s="1" t="s">
        <v>1025</v>
      </c>
      <c r="C559" s="1" t="s">
        <v>1022</v>
      </c>
      <c r="D559" s="1" t="s">
        <v>19</v>
      </c>
      <c r="E559" s="1" t="s">
        <v>1023</v>
      </c>
      <c r="G559" s="10">
        <v>18.920000000000002</v>
      </c>
      <c r="H559" s="13" t="s">
        <v>1617</v>
      </c>
      <c r="I559" s="13" t="s">
        <v>1618</v>
      </c>
      <c r="M559" t="s">
        <v>1667</v>
      </c>
      <c r="AA559" t="str">
        <f t="shared" si="24"/>
        <v>Heparin Injection 1000 IU/mL</v>
      </c>
    </row>
    <row r="560" spans="2:27" x14ac:dyDescent="0.25">
      <c r="B560" s="1" t="s">
        <v>1025</v>
      </c>
      <c r="C560" s="1" t="s">
        <v>1022</v>
      </c>
      <c r="D560" s="1" t="s">
        <v>19</v>
      </c>
      <c r="E560" s="1" t="s">
        <v>1024</v>
      </c>
      <c r="G560" s="10">
        <v>53.48</v>
      </c>
      <c r="H560" s="13" t="s">
        <v>1617</v>
      </c>
      <c r="I560" s="13" t="s">
        <v>1618</v>
      </c>
      <c r="M560" t="s">
        <v>1667</v>
      </c>
      <c r="AA560" t="str">
        <f t="shared" si="24"/>
        <v>Heparin Injection 5000 IU/mL</v>
      </c>
    </row>
    <row r="561" spans="2:27" x14ac:dyDescent="0.25">
      <c r="B561" s="1" t="s">
        <v>1026</v>
      </c>
      <c r="C561" s="1" t="s">
        <v>1027</v>
      </c>
      <c r="D561" s="1" t="s">
        <v>19</v>
      </c>
      <c r="E561" s="1" t="s">
        <v>609</v>
      </c>
      <c r="AA561" t="str">
        <f t="shared" si="24"/>
        <v>Hepatitis B immunoglobulin As Licensed</v>
      </c>
    </row>
    <row r="562" spans="2:27" x14ac:dyDescent="0.25">
      <c r="B562" s="1" t="s">
        <v>1028</v>
      </c>
      <c r="C562" s="1" t="s">
        <v>1029</v>
      </c>
      <c r="D562" s="1" t="s">
        <v>4</v>
      </c>
      <c r="E562" s="1" t="s">
        <v>391</v>
      </c>
      <c r="AA562" t="str">
        <f t="shared" si="24"/>
        <v>Hepatitis B vaccine As licensed</v>
      </c>
    </row>
    <row r="563" spans="2:27" x14ac:dyDescent="0.25">
      <c r="B563" s="1" t="s">
        <v>1030</v>
      </c>
      <c r="C563" s="1" t="s">
        <v>1031</v>
      </c>
      <c r="D563" s="1" t="s">
        <v>4</v>
      </c>
      <c r="E563" s="1" t="s">
        <v>1032</v>
      </c>
      <c r="G563" s="14">
        <v>5.71</v>
      </c>
      <c r="H563" s="14" t="s">
        <v>1626</v>
      </c>
      <c r="AA563" t="str">
        <f t="shared" si="24"/>
        <v>Homatropine Drops 2%</v>
      </c>
    </row>
    <row r="564" spans="2:27" x14ac:dyDescent="0.25">
      <c r="B564" s="1" t="s">
        <v>1033</v>
      </c>
      <c r="C564" s="1" t="s">
        <v>1034</v>
      </c>
      <c r="D564" s="1" t="s">
        <v>8</v>
      </c>
      <c r="E564" s="1" t="s">
        <v>1035</v>
      </c>
      <c r="AA564" t="str">
        <f t="shared" si="24"/>
        <v>Hormone releasing IUD Contains 52 mg of Levonorgestrel</v>
      </c>
    </row>
    <row r="565" spans="2:27" x14ac:dyDescent="0.25">
      <c r="B565" s="1" t="s">
        <v>211</v>
      </c>
      <c r="C565" s="1" t="s">
        <v>212</v>
      </c>
      <c r="D565" s="1" t="s">
        <v>19</v>
      </c>
      <c r="E565" s="1" t="s">
        <v>213</v>
      </c>
      <c r="M565" t="s">
        <v>1675</v>
      </c>
      <c r="AA565" t="str">
        <f t="shared" si="24"/>
        <v>Human chorionic gonadotropin Injection 2000 IU</v>
      </c>
    </row>
    <row r="566" spans="2:27" x14ac:dyDescent="0.25">
      <c r="B566" s="1" t="s">
        <v>211</v>
      </c>
      <c r="C566" s="1" t="s">
        <v>212</v>
      </c>
      <c r="D566" s="1" t="s">
        <v>19</v>
      </c>
      <c r="E566" s="1" t="s">
        <v>1036</v>
      </c>
      <c r="M566" t="s">
        <v>1675</v>
      </c>
      <c r="AA566" t="str">
        <f t="shared" si="24"/>
        <v>Human chorionic gonadotropin Injection 5000 IU</v>
      </c>
    </row>
    <row r="567" spans="2:27" x14ac:dyDescent="0.25">
      <c r="B567" s="1" t="s">
        <v>211</v>
      </c>
      <c r="C567" s="1" t="s">
        <v>212</v>
      </c>
      <c r="D567" s="1" t="s">
        <v>19</v>
      </c>
      <c r="E567" s="1" t="s">
        <v>1037</v>
      </c>
      <c r="M567" t="s">
        <v>1675</v>
      </c>
      <c r="AA567" t="str">
        <f t="shared" si="24"/>
        <v>Human chorionic gonadotropin Injection 10000 IU</v>
      </c>
    </row>
    <row r="568" spans="2:27" x14ac:dyDescent="0.25">
      <c r="B568" s="1" t="s">
        <v>1038</v>
      </c>
      <c r="C568" s="1" t="s">
        <v>1039</v>
      </c>
      <c r="D568" s="1" t="s">
        <v>8</v>
      </c>
      <c r="E568" s="1" t="s">
        <v>609</v>
      </c>
      <c r="AA568" t="str">
        <f t="shared" si="24"/>
        <v>Human normal immunoglobulin As Licensed</v>
      </c>
    </row>
    <row r="569" spans="2:27" x14ac:dyDescent="0.25">
      <c r="B569" s="1" t="s">
        <v>1040</v>
      </c>
      <c r="C569" s="4" t="s">
        <v>1041</v>
      </c>
      <c r="D569" s="1" t="s">
        <v>4</v>
      </c>
      <c r="E569" s="1" t="s">
        <v>1042</v>
      </c>
      <c r="G569" s="14">
        <v>0.93</v>
      </c>
      <c r="H569" s="1" t="s">
        <v>1622</v>
      </c>
      <c r="M569" t="s">
        <v>1667</v>
      </c>
      <c r="AA569" t="str">
        <f t="shared" si="24"/>
        <v>Hydrochlorothiazide Tablet 12.5 mg</v>
      </c>
    </row>
    <row r="570" spans="2:27" x14ac:dyDescent="0.25">
      <c r="B570" s="1" t="s">
        <v>1040</v>
      </c>
      <c r="C570" s="4" t="s">
        <v>1041</v>
      </c>
      <c r="D570" s="1" t="s">
        <v>4</v>
      </c>
      <c r="E570" s="1" t="s">
        <v>132</v>
      </c>
      <c r="G570" s="14">
        <v>1.56</v>
      </c>
      <c r="H570" s="1" t="s">
        <v>1622</v>
      </c>
      <c r="M570" t="s">
        <v>1667</v>
      </c>
      <c r="AA570" t="str">
        <f t="shared" si="24"/>
        <v>Hydrochlorothiazide Tablet 25 mg</v>
      </c>
    </row>
    <row r="571" spans="2:27" x14ac:dyDescent="0.25">
      <c r="B571" s="1">
        <v>15.2</v>
      </c>
      <c r="C571" s="4" t="s">
        <v>1041</v>
      </c>
      <c r="D571" s="1" t="s">
        <v>4</v>
      </c>
      <c r="E571" s="1" t="s">
        <v>132</v>
      </c>
      <c r="G571" s="14">
        <v>1.56</v>
      </c>
      <c r="H571" s="1" t="s">
        <v>1622</v>
      </c>
      <c r="M571" t="s">
        <v>1682</v>
      </c>
      <c r="AA571" t="str">
        <f t="shared" si="24"/>
        <v>Hydrochlorothiazide Tablet 25 mg</v>
      </c>
    </row>
    <row r="572" spans="2:27" x14ac:dyDescent="0.25">
      <c r="B572" s="1">
        <v>15.2</v>
      </c>
      <c r="C572" s="4" t="s">
        <v>1041</v>
      </c>
      <c r="D572" s="1" t="s">
        <v>4</v>
      </c>
      <c r="E572" s="1" t="s">
        <v>28</v>
      </c>
      <c r="M572" t="s">
        <v>1682</v>
      </c>
      <c r="AA572" t="str">
        <f t="shared" si="24"/>
        <v>Hydrochlorothiazide Tablet 50 mg</v>
      </c>
    </row>
    <row r="573" spans="2:27" x14ac:dyDescent="0.25">
      <c r="B573" s="1">
        <v>3.4</v>
      </c>
      <c r="C573" s="1" t="s">
        <v>214</v>
      </c>
      <c r="D573" s="1" t="s">
        <v>4</v>
      </c>
      <c r="E573" s="1" t="s">
        <v>381</v>
      </c>
      <c r="M573" t="s">
        <v>598</v>
      </c>
      <c r="AA573" t="str">
        <f t="shared" si="24"/>
        <v>Hydrocortisone Tablet 5 mg</v>
      </c>
    </row>
    <row r="574" spans="2:27" x14ac:dyDescent="0.25">
      <c r="B574" s="1">
        <v>3.4</v>
      </c>
      <c r="C574" s="1" t="s">
        <v>214</v>
      </c>
      <c r="D574" s="1" t="s">
        <v>4</v>
      </c>
      <c r="E574" s="1" t="s">
        <v>220</v>
      </c>
      <c r="M574" t="s">
        <v>598</v>
      </c>
      <c r="AA574" t="str">
        <f t="shared" si="24"/>
        <v>Hydrocortisone Tablet 10 mg</v>
      </c>
    </row>
    <row r="575" spans="2:27" x14ac:dyDescent="0.25">
      <c r="B575" s="1">
        <v>3.4</v>
      </c>
      <c r="C575" s="1" t="s">
        <v>214</v>
      </c>
      <c r="D575" s="1" t="s">
        <v>4</v>
      </c>
      <c r="E575" s="1" t="s">
        <v>1043</v>
      </c>
      <c r="G575" s="14">
        <v>39.950000000000003</v>
      </c>
      <c r="H575" s="14" t="s">
        <v>1624</v>
      </c>
      <c r="M575" t="s">
        <v>598</v>
      </c>
      <c r="AA575" t="str">
        <f t="shared" si="24"/>
        <v>Hydrocortisone Powder for Injection 100 mg</v>
      </c>
    </row>
    <row r="576" spans="2:27" x14ac:dyDescent="0.25">
      <c r="B576" s="1">
        <v>3.4</v>
      </c>
      <c r="C576" s="1" t="s">
        <v>214</v>
      </c>
      <c r="D576" s="1" t="s">
        <v>4</v>
      </c>
      <c r="E576" s="1" t="s">
        <v>217</v>
      </c>
      <c r="M576" t="s">
        <v>598</v>
      </c>
      <c r="AA576" t="str">
        <f t="shared" si="24"/>
        <v>Hydrocortisone Powder for Injection 200 mg</v>
      </c>
    </row>
    <row r="577" spans="2:27" x14ac:dyDescent="0.25">
      <c r="B577" s="1" t="s">
        <v>215</v>
      </c>
      <c r="C577" s="1" t="s">
        <v>214</v>
      </c>
      <c r="D577" s="1" t="s">
        <v>4</v>
      </c>
      <c r="E577" s="1" t="s">
        <v>381</v>
      </c>
      <c r="M577" t="s">
        <v>1675</v>
      </c>
      <c r="AA577" t="str">
        <f t="shared" si="24"/>
        <v>Hydrocortisone Tablet 5 mg</v>
      </c>
    </row>
    <row r="578" spans="2:27" x14ac:dyDescent="0.25">
      <c r="B578" s="1" t="s">
        <v>215</v>
      </c>
      <c r="C578" s="1" t="s">
        <v>214</v>
      </c>
      <c r="D578" s="1" t="s">
        <v>4</v>
      </c>
      <c r="E578" s="1" t="s">
        <v>220</v>
      </c>
      <c r="M578" t="s">
        <v>1675</v>
      </c>
      <c r="AA578" t="str">
        <f t="shared" si="24"/>
        <v>Hydrocortisone Tablet 10 mg</v>
      </c>
    </row>
    <row r="579" spans="2:27" x14ac:dyDescent="0.25">
      <c r="B579" s="1" t="s">
        <v>215</v>
      </c>
      <c r="C579" s="1" t="s">
        <v>214</v>
      </c>
      <c r="D579" s="1" t="s">
        <v>4</v>
      </c>
      <c r="E579" s="1" t="s">
        <v>76</v>
      </c>
      <c r="M579" t="s">
        <v>1675</v>
      </c>
      <c r="AA579" t="str">
        <f t="shared" si="24"/>
        <v>Hydrocortisone Tablet 20 mg</v>
      </c>
    </row>
    <row r="580" spans="2:27" x14ac:dyDescent="0.25">
      <c r="B580" s="1" t="s">
        <v>215</v>
      </c>
      <c r="C580" s="1" t="s">
        <v>214</v>
      </c>
      <c r="D580" s="1" t="s">
        <v>4</v>
      </c>
      <c r="E580" s="1" t="s">
        <v>1043</v>
      </c>
      <c r="G580" s="14">
        <v>39.950000000000003</v>
      </c>
      <c r="H580" s="14" t="s">
        <v>1624</v>
      </c>
      <c r="M580" t="s">
        <v>1675</v>
      </c>
      <c r="AA580" t="str">
        <f t="shared" si="24"/>
        <v>Hydrocortisone Powder for Injection 100 mg</v>
      </c>
    </row>
    <row r="581" spans="2:27" x14ac:dyDescent="0.25">
      <c r="B581" s="1" t="s">
        <v>216</v>
      </c>
      <c r="C581" s="1" t="s">
        <v>214</v>
      </c>
      <c r="D581" s="1" t="s">
        <v>4</v>
      </c>
      <c r="E581" s="1" t="s">
        <v>217</v>
      </c>
      <c r="M581" t="s">
        <v>1673</v>
      </c>
      <c r="AA581" t="str">
        <f t="shared" si="24"/>
        <v>Hydrocortisone Powder for Injection 200 mg</v>
      </c>
    </row>
    <row r="582" spans="2:27" x14ac:dyDescent="0.25">
      <c r="B582" s="1" t="s">
        <v>216</v>
      </c>
      <c r="C582" s="1" t="s">
        <v>214</v>
      </c>
      <c r="D582" s="1" t="s">
        <v>4</v>
      </c>
      <c r="E582" s="1" t="s">
        <v>1043</v>
      </c>
      <c r="G582" s="14">
        <v>39.950000000000003</v>
      </c>
      <c r="H582" s="14" t="s">
        <v>1624</v>
      </c>
      <c r="M582" t="s">
        <v>1673</v>
      </c>
      <c r="AA582" t="str">
        <f t="shared" si="24"/>
        <v>Hydrocortisone Powder for Injection 100 mg</v>
      </c>
    </row>
    <row r="583" spans="2:27" x14ac:dyDescent="0.25">
      <c r="B583" s="1" t="s">
        <v>1044</v>
      </c>
      <c r="C583" s="1" t="s">
        <v>1045</v>
      </c>
      <c r="D583" s="1" t="s">
        <v>4</v>
      </c>
      <c r="E583" s="1" t="s">
        <v>1046</v>
      </c>
      <c r="AA583" t="str">
        <f t="shared" si="24"/>
        <v>Hydrogen peroxide Solution 6 %</v>
      </c>
    </row>
    <row r="584" spans="2:27" x14ac:dyDescent="0.25">
      <c r="B584" s="1" t="s">
        <v>1047</v>
      </c>
      <c r="C584" s="1" t="s">
        <v>1048</v>
      </c>
      <c r="D584" s="1" t="s">
        <v>4</v>
      </c>
      <c r="E584" s="1" t="s">
        <v>320</v>
      </c>
      <c r="AA584" t="str">
        <f t="shared" si="24"/>
        <v>Hydroxocobalamin Injection 1 mg/mL</v>
      </c>
    </row>
    <row r="585" spans="2:27" x14ac:dyDescent="0.25">
      <c r="B585" s="1" t="s">
        <v>1049</v>
      </c>
      <c r="C585" s="1" t="s">
        <v>1050</v>
      </c>
      <c r="D585" s="1" t="s">
        <v>4</v>
      </c>
      <c r="E585" s="1" t="s">
        <v>511</v>
      </c>
      <c r="G585" s="10">
        <v>12.31</v>
      </c>
      <c r="H585" s="13" t="s">
        <v>1617</v>
      </c>
      <c r="I585" s="13" t="s">
        <v>1618</v>
      </c>
      <c r="M585" t="s">
        <v>1635</v>
      </c>
      <c r="O585" t="s">
        <v>1639</v>
      </c>
      <c r="AA585" t="str">
        <f t="shared" ref="AA585:AA648" si="27">C585&amp;" "&amp;E585</f>
        <v>Hydroxychloroquine Tablet 400 mg</v>
      </c>
    </row>
    <row r="586" spans="2:27" x14ac:dyDescent="0.25">
      <c r="B586" s="1" t="s">
        <v>1049</v>
      </c>
      <c r="C586" s="1" t="s">
        <v>1050</v>
      </c>
      <c r="D586" s="1" t="s">
        <v>4</v>
      </c>
      <c r="E586" s="1" t="s">
        <v>114</v>
      </c>
      <c r="G586" s="14">
        <v>5.67</v>
      </c>
      <c r="H586" s="14" t="s">
        <v>1624</v>
      </c>
      <c r="M586" t="s">
        <v>1635</v>
      </c>
      <c r="O586" t="s">
        <v>1639</v>
      </c>
      <c r="AA586" t="str">
        <f t="shared" si="27"/>
        <v>Hydroxychloroquine Tablet 200 mg</v>
      </c>
    </row>
    <row r="587" spans="2:27" x14ac:dyDescent="0.25">
      <c r="B587" s="1" t="s">
        <v>1051</v>
      </c>
      <c r="C587" s="1" t="s">
        <v>1052</v>
      </c>
      <c r="D587" s="1" t="s">
        <v>8</v>
      </c>
      <c r="E587" s="1" t="s">
        <v>1053</v>
      </c>
      <c r="AA587" t="str">
        <f t="shared" si="27"/>
        <v>Hydroxypropyl methylcellulose Injection 2%</v>
      </c>
    </row>
    <row r="588" spans="2:27" x14ac:dyDescent="0.25">
      <c r="B588" s="1" t="s">
        <v>1054</v>
      </c>
      <c r="C588" s="1" t="s">
        <v>1055</v>
      </c>
      <c r="D588" s="1" t="s">
        <v>8</v>
      </c>
      <c r="E588" s="1" t="s">
        <v>293</v>
      </c>
      <c r="G588" s="14">
        <v>10.81</v>
      </c>
      <c r="H588" s="14" t="s">
        <v>1624</v>
      </c>
      <c r="M588" t="s">
        <v>1668</v>
      </c>
      <c r="AA588" t="str">
        <f t="shared" si="27"/>
        <v>Hydroxyurea Capsule 500 mg</v>
      </c>
    </row>
    <row r="589" spans="2:27" x14ac:dyDescent="0.25">
      <c r="B589" s="1" t="s">
        <v>1056</v>
      </c>
      <c r="C589" s="1" t="s">
        <v>1055</v>
      </c>
      <c r="D589" s="1" t="s">
        <v>19</v>
      </c>
      <c r="E589" s="1" t="s">
        <v>293</v>
      </c>
      <c r="G589" s="14">
        <v>10.81</v>
      </c>
      <c r="H589" s="14" t="s">
        <v>1624</v>
      </c>
      <c r="M589" t="s">
        <v>1681</v>
      </c>
      <c r="AA589" t="str">
        <f t="shared" si="27"/>
        <v>Hydroxyurea Capsule 500 mg</v>
      </c>
    </row>
    <row r="590" spans="2:27" x14ac:dyDescent="0.25">
      <c r="B590" s="1" t="s">
        <v>221</v>
      </c>
      <c r="C590" s="1" t="s">
        <v>219</v>
      </c>
      <c r="D590" s="1" t="s">
        <v>4</v>
      </c>
      <c r="E590" s="1" t="s">
        <v>1057</v>
      </c>
      <c r="M590" t="s">
        <v>1666</v>
      </c>
      <c r="AA590" t="str">
        <f t="shared" si="27"/>
        <v>Hyoscine butyl bromide Injection 20 mg/ mL</v>
      </c>
    </row>
    <row r="591" spans="2:27" x14ac:dyDescent="0.25">
      <c r="B591" s="1" t="s">
        <v>221</v>
      </c>
      <c r="C591" s="1" t="s">
        <v>219</v>
      </c>
      <c r="D591" s="1" t="s">
        <v>4</v>
      </c>
      <c r="E591" s="1" t="s">
        <v>29</v>
      </c>
      <c r="M591" t="s">
        <v>1666</v>
      </c>
      <c r="AA591" t="str">
        <f t="shared" si="27"/>
        <v>Hyoscine butyl bromide Tablet 100 mg</v>
      </c>
    </row>
    <row r="592" spans="2:27" x14ac:dyDescent="0.25">
      <c r="B592" s="1" t="s">
        <v>1058</v>
      </c>
      <c r="C592" s="1" t="s">
        <v>1059</v>
      </c>
      <c r="D592" s="1" t="s">
        <v>4</v>
      </c>
      <c r="E592" s="1" t="s">
        <v>511</v>
      </c>
      <c r="G592" s="1">
        <v>1.07</v>
      </c>
      <c r="H592" s="1" t="s">
        <v>1622</v>
      </c>
      <c r="M592" t="s">
        <v>1635</v>
      </c>
      <c r="O592" t="s">
        <v>1636</v>
      </c>
      <c r="AA592" t="str">
        <f t="shared" si="27"/>
        <v>Ibuprofen Tablet 400 mg</v>
      </c>
    </row>
    <row r="593" spans="2:27" x14ac:dyDescent="0.25">
      <c r="B593" s="1" t="s">
        <v>1058</v>
      </c>
      <c r="C593" s="1" t="s">
        <v>1059</v>
      </c>
      <c r="D593" s="1" t="s">
        <v>4</v>
      </c>
      <c r="E593" s="1" t="s">
        <v>721</v>
      </c>
      <c r="G593" s="14">
        <v>0.2</v>
      </c>
      <c r="H593" s="14" t="s">
        <v>1626</v>
      </c>
      <c r="M593" t="s">
        <v>1635</v>
      </c>
      <c r="O593" t="s">
        <v>1636</v>
      </c>
      <c r="AA593" t="str">
        <f t="shared" si="27"/>
        <v>Ibuprofen Oral liquid 100 mg/5 mL (p)</v>
      </c>
    </row>
    <row r="594" spans="2:27" x14ac:dyDescent="0.25">
      <c r="B594" s="1" t="s">
        <v>1058</v>
      </c>
      <c r="C594" s="1" t="s">
        <v>1059</v>
      </c>
      <c r="D594" s="1" t="s">
        <v>4</v>
      </c>
      <c r="E594" s="1" t="s">
        <v>114</v>
      </c>
      <c r="G594" s="14">
        <v>0.63</v>
      </c>
      <c r="H594" s="14" t="s">
        <v>1624</v>
      </c>
      <c r="M594" t="s">
        <v>1635</v>
      </c>
      <c r="O594" t="s">
        <v>1636</v>
      </c>
      <c r="AA594" t="str">
        <f t="shared" si="27"/>
        <v>Ibuprofen Tablet 200 mg</v>
      </c>
    </row>
    <row r="595" spans="2:27" x14ac:dyDescent="0.25">
      <c r="B595" s="1" t="s">
        <v>1060</v>
      </c>
      <c r="C595" s="1" t="s">
        <v>1059</v>
      </c>
      <c r="D595" s="1" t="s">
        <v>4</v>
      </c>
      <c r="E595" s="1" t="s">
        <v>114</v>
      </c>
      <c r="M595" t="s">
        <v>651</v>
      </c>
      <c r="O595" t="s">
        <v>1643</v>
      </c>
      <c r="AA595" t="str">
        <f t="shared" si="27"/>
        <v>Ibuprofen Tablet 200 mg</v>
      </c>
    </row>
    <row r="596" spans="2:27" x14ac:dyDescent="0.25">
      <c r="B596" s="1"/>
      <c r="C596" s="1"/>
      <c r="D596" s="1"/>
      <c r="E596" s="1"/>
      <c r="J596" t="s">
        <v>530</v>
      </c>
      <c r="K596" t="str">
        <f t="shared" ref="K596:K625" si="28">C596&amp;" "&amp;E596</f>
        <v xml:space="preserve"> </v>
      </c>
      <c r="L596">
        <f t="shared" ref="L596:L625" si="29">B596</f>
        <v>0</v>
      </c>
      <c r="AA596" t="str">
        <f t="shared" si="27"/>
        <v xml:space="preserve"> </v>
      </c>
    </row>
    <row r="597" spans="2:27" x14ac:dyDescent="0.25">
      <c r="B597" s="2" t="s">
        <v>1061</v>
      </c>
      <c r="C597" s="1"/>
      <c r="D597" s="1"/>
      <c r="E597" s="1"/>
      <c r="J597" t="s">
        <v>530</v>
      </c>
      <c r="K597" t="str">
        <f t="shared" si="28"/>
        <v xml:space="preserve"> </v>
      </c>
      <c r="L597" t="str">
        <f t="shared" si="29"/>
        <v>7.2-Hormones and Anti-hormones used in Cancer Therapy</v>
      </c>
      <c r="AA597" t="str">
        <f t="shared" si="27"/>
        <v xml:space="preserve"> </v>
      </c>
    </row>
    <row r="598" spans="2:27" x14ac:dyDescent="0.25">
      <c r="B598" s="1" t="s">
        <v>1060</v>
      </c>
      <c r="C598" s="1" t="s">
        <v>1059</v>
      </c>
      <c r="D598" s="1" t="s">
        <v>4</v>
      </c>
      <c r="E598" s="1" t="s">
        <v>511</v>
      </c>
      <c r="G598" s="1">
        <v>1.07</v>
      </c>
      <c r="H598" s="1" t="s">
        <v>1622</v>
      </c>
      <c r="M598" t="s">
        <v>651</v>
      </c>
      <c r="O598" t="s">
        <v>1643</v>
      </c>
      <c r="AA598" t="str">
        <f t="shared" si="27"/>
        <v>Ibuprofen Tablet 400 mg</v>
      </c>
    </row>
    <row r="599" spans="2:27" x14ac:dyDescent="0.25">
      <c r="B599" s="1" t="s">
        <v>1060</v>
      </c>
      <c r="C599" s="1" t="s">
        <v>1059</v>
      </c>
      <c r="D599" s="1" t="s">
        <v>4</v>
      </c>
      <c r="E599" s="1" t="s">
        <v>721</v>
      </c>
      <c r="G599" s="14">
        <v>0.2</v>
      </c>
      <c r="H599" s="14" t="s">
        <v>1626</v>
      </c>
      <c r="M599" t="s">
        <v>651</v>
      </c>
      <c r="O599" t="s">
        <v>1643</v>
      </c>
      <c r="AA599" t="str">
        <f t="shared" si="27"/>
        <v>Ibuprofen Oral liquid 100 mg/5 mL (p)</v>
      </c>
    </row>
    <row r="600" spans="2:27" x14ac:dyDescent="0.25">
      <c r="B600" s="1" t="s">
        <v>1062</v>
      </c>
      <c r="C600" s="1" t="s">
        <v>1063</v>
      </c>
      <c r="D600" s="1" t="s">
        <v>8</v>
      </c>
      <c r="E600" s="1" t="s">
        <v>751</v>
      </c>
      <c r="M600" t="s">
        <v>1668</v>
      </c>
      <c r="AA600" t="str">
        <f t="shared" si="27"/>
        <v>Ifosfamide Powder for Injection 2000 mg</v>
      </c>
    </row>
    <row r="601" spans="2:27" x14ac:dyDescent="0.25">
      <c r="B601" s="1" t="s">
        <v>1062</v>
      </c>
      <c r="C601" s="1" t="s">
        <v>1063</v>
      </c>
      <c r="D601" s="1" t="s">
        <v>8</v>
      </c>
      <c r="E601" s="1" t="s">
        <v>606</v>
      </c>
      <c r="M601" t="s">
        <v>1668</v>
      </c>
      <c r="AA601" t="str">
        <f t="shared" si="27"/>
        <v>Ifosfamide Powder for Injection 1000 mg</v>
      </c>
    </row>
    <row r="602" spans="2:27" x14ac:dyDescent="0.25">
      <c r="B602" s="1" t="s">
        <v>1064</v>
      </c>
      <c r="C602" s="1" t="s">
        <v>1065</v>
      </c>
      <c r="D602" s="1" t="s">
        <v>8</v>
      </c>
      <c r="E602" s="1" t="s">
        <v>511</v>
      </c>
      <c r="G602" s="1">
        <v>178.03</v>
      </c>
      <c r="H602" s="1" t="s">
        <v>1622</v>
      </c>
      <c r="M602" t="s">
        <v>1668</v>
      </c>
      <c r="AA602" t="str">
        <f t="shared" si="27"/>
        <v>Imatinib Tablet 400 mg</v>
      </c>
    </row>
    <row r="603" spans="2:27" x14ac:dyDescent="0.25">
      <c r="B603" s="1" t="s">
        <v>1064</v>
      </c>
      <c r="C603" s="1" t="s">
        <v>1065</v>
      </c>
      <c r="D603" s="1" t="s">
        <v>8</v>
      </c>
      <c r="E603" s="1" t="s">
        <v>29</v>
      </c>
      <c r="G603" s="14">
        <v>62.21</v>
      </c>
      <c r="H603" s="14" t="s">
        <v>1624</v>
      </c>
      <c r="M603" t="s">
        <v>1668</v>
      </c>
      <c r="AA603" t="str">
        <f t="shared" si="27"/>
        <v>Imatinib Tablet 100 mg</v>
      </c>
    </row>
    <row r="604" spans="2:27" x14ac:dyDescent="0.25">
      <c r="B604" s="1" t="s">
        <v>1066</v>
      </c>
      <c r="C604" s="1" t="s">
        <v>1067</v>
      </c>
      <c r="D604" s="1" t="s">
        <v>4</v>
      </c>
      <c r="E604" s="1" t="s">
        <v>1068</v>
      </c>
      <c r="M604" t="s">
        <v>1675</v>
      </c>
      <c r="AA604" t="str">
        <f t="shared" si="27"/>
        <v>Insulin (Soluble) Injection 40 IU/mL</v>
      </c>
    </row>
    <row r="605" spans="2:27" x14ac:dyDescent="0.25">
      <c r="B605" s="1" t="s">
        <v>222</v>
      </c>
      <c r="C605" s="1" t="s">
        <v>223</v>
      </c>
      <c r="D605" s="1" t="s">
        <v>4</v>
      </c>
      <c r="E605" s="1" t="s">
        <v>224</v>
      </c>
      <c r="M605" t="s">
        <v>1675</v>
      </c>
      <c r="AA605" t="str">
        <f t="shared" si="27"/>
        <v>Insulin Glargine Injection 100 IU/mL</v>
      </c>
    </row>
    <row r="606" spans="2:27" x14ac:dyDescent="0.25">
      <c r="B606" s="1" t="s">
        <v>1069</v>
      </c>
      <c r="C606" s="1" t="s">
        <v>1070</v>
      </c>
      <c r="D606" s="1" t="s">
        <v>4</v>
      </c>
      <c r="E606" s="1" t="s">
        <v>1068</v>
      </c>
      <c r="M606" t="s">
        <v>1675</v>
      </c>
      <c r="AA606" t="str">
        <f t="shared" si="27"/>
        <v>Insulin Intermediate Acting (NPH) Injection 40 IU/mL</v>
      </c>
    </row>
    <row r="607" spans="2:27" x14ac:dyDescent="0.25">
      <c r="B607" s="1" t="s">
        <v>1071</v>
      </c>
      <c r="C607" s="1" t="s">
        <v>1072</v>
      </c>
      <c r="D607" s="1" t="s">
        <v>4</v>
      </c>
      <c r="E607" s="1" t="s">
        <v>1068</v>
      </c>
      <c r="M607" t="s">
        <v>1675</v>
      </c>
      <c r="AA607" t="str">
        <f t="shared" si="27"/>
        <v>Insulin Premix Injection 30:70 (Regular : NPH) Injection 40 IU/mL</v>
      </c>
    </row>
    <row r="608" spans="2:27" x14ac:dyDescent="0.25">
      <c r="B608" s="1" t="s">
        <v>1073</v>
      </c>
      <c r="C608" s="1" t="s">
        <v>1074</v>
      </c>
      <c r="D608" s="1" t="s">
        <v>19</v>
      </c>
      <c r="E608" s="1" t="s">
        <v>1075</v>
      </c>
      <c r="AA608" t="str">
        <f t="shared" si="27"/>
        <v>Iohexol Injection 140 to 350 mg iodine/mL</v>
      </c>
    </row>
    <row r="609" spans="2:27" x14ac:dyDescent="0.25">
      <c r="B609" s="1" t="s">
        <v>1076</v>
      </c>
      <c r="C609" s="1" t="s">
        <v>1077</v>
      </c>
      <c r="D609" s="1" t="s">
        <v>4</v>
      </c>
      <c r="E609" s="1" t="s">
        <v>1078</v>
      </c>
      <c r="AA609" t="str">
        <f t="shared" si="27"/>
        <v>Ipratropium Respirator solution for use in nebulizer 250 mcg/mL</v>
      </c>
    </row>
    <row r="610" spans="2:27" x14ac:dyDescent="0.25">
      <c r="B610" s="1" t="s">
        <v>1076</v>
      </c>
      <c r="C610" s="1" t="s">
        <v>1077</v>
      </c>
      <c r="D610" s="1" t="s">
        <v>4</v>
      </c>
      <c r="E610" s="1" t="s">
        <v>1079</v>
      </c>
      <c r="AA610" t="str">
        <f t="shared" si="27"/>
        <v>Ipratropium Inhalation (MDI/DPI) 20 mcg/dose</v>
      </c>
    </row>
    <row r="611" spans="2:27" x14ac:dyDescent="0.25">
      <c r="B611" s="1"/>
      <c r="C611" s="1"/>
      <c r="D611" s="1"/>
      <c r="E611" s="1"/>
      <c r="J611" t="s">
        <v>530</v>
      </c>
      <c r="K611" t="str">
        <f t="shared" si="28"/>
        <v xml:space="preserve"> </v>
      </c>
      <c r="L611">
        <f t="shared" si="29"/>
        <v>0</v>
      </c>
      <c r="AA611" t="str">
        <f t="shared" si="27"/>
        <v xml:space="preserve"> </v>
      </c>
    </row>
    <row r="612" spans="2:27" x14ac:dyDescent="0.25">
      <c r="B612" s="2" t="s">
        <v>1080</v>
      </c>
      <c r="C612" s="1"/>
      <c r="D612" s="1"/>
      <c r="E612" s="1"/>
      <c r="J612" t="s">
        <v>530</v>
      </c>
      <c r="K612" t="str">
        <f t="shared" si="28"/>
        <v xml:space="preserve"> </v>
      </c>
      <c r="L612" t="str">
        <f t="shared" si="29"/>
        <v>7.3 - Immunosuppressive Medicines</v>
      </c>
      <c r="AA612" t="str">
        <f t="shared" si="27"/>
        <v xml:space="preserve"> </v>
      </c>
    </row>
    <row r="613" spans="2:27" x14ac:dyDescent="0.25">
      <c r="B613" s="1" t="s">
        <v>225</v>
      </c>
      <c r="C613" s="1" t="s">
        <v>226</v>
      </c>
      <c r="D613" s="1" t="s">
        <v>8</v>
      </c>
      <c r="E613" s="1" t="s">
        <v>227</v>
      </c>
      <c r="AA613" t="str">
        <f t="shared" si="27"/>
        <v>Irinotecan HCl trihydrate Solution for injection 20 mg/ mL</v>
      </c>
    </row>
    <row r="614" spans="2:27" x14ac:dyDescent="0.25">
      <c r="B614" s="1" t="s">
        <v>1081</v>
      </c>
      <c r="C614" s="1" t="s">
        <v>1082</v>
      </c>
      <c r="D614" s="1" t="s">
        <v>19</v>
      </c>
      <c r="E614" s="1" t="s">
        <v>703</v>
      </c>
      <c r="AA614" t="str">
        <f t="shared" si="27"/>
        <v>Iron sucrose Injection 20 mg/mL</v>
      </c>
    </row>
    <row r="615" spans="2:27" x14ac:dyDescent="0.25">
      <c r="B615" s="1" t="s">
        <v>1083</v>
      </c>
      <c r="C615" s="1" t="s">
        <v>1084</v>
      </c>
      <c r="D615" s="1" t="s">
        <v>19</v>
      </c>
      <c r="E615" s="1" t="s">
        <v>1020</v>
      </c>
      <c r="G615" s="14">
        <v>8.61</v>
      </c>
      <c r="H615" s="1" t="s">
        <v>1622</v>
      </c>
      <c r="M615" t="s">
        <v>1630</v>
      </c>
      <c r="O615" t="s">
        <v>1631</v>
      </c>
      <c r="AA615" t="str">
        <f t="shared" si="27"/>
        <v>Isoflurane Liquid for inhalation</v>
      </c>
    </row>
    <row r="616" spans="2:27" x14ac:dyDescent="0.25">
      <c r="B616" s="1" t="s">
        <v>1085</v>
      </c>
      <c r="C616" s="1" t="s">
        <v>229</v>
      </c>
      <c r="D616" s="1" t="s">
        <v>4</v>
      </c>
      <c r="E616" s="1" t="s">
        <v>29</v>
      </c>
      <c r="M616" t="s">
        <v>735</v>
      </c>
      <c r="N616" t="s">
        <v>1655</v>
      </c>
      <c r="AA616" t="str">
        <f t="shared" si="27"/>
        <v>Isoniazid Tablet 100 mg</v>
      </c>
    </row>
    <row r="617" spans="2:27" x14ac:dyDescent="0.25">
      <c r="B617" s="1" t="s">
        <v>1085</v>
      </c>
      <c r="C617" s="1" t="s">
        <v>229</v>
      </c>
      <c r="D617" s="1" t="s">
        <v>4</v>
      </c>
      <c r="E617" s="1" t="s">
        <v>278</v>
      </c>
      <c r="M617" t="s">
        <v>735</v>
      </c>
      <c r="N617" t="s">
        <v>1655</v>
      </c>
      <c r="AA617" t="str">
        <f t="shared" si="27"/>
        <v>Isoniazid Tablet 300 mg</v>
      </c>
    </row>
    <row r="618" spans="2:27" x14ac:dyDescent="0.25">
      <c r="B618" s="1" t="s">
        <v>1085</v>
      </c>
      <c r="C618" s="1" t="s">
        <v>229</v>
      </c>
      <c r="D618" s="1" t="s">
        <v>4</v>
      </c>
      <c r="E618" s="1" t="s">
        <v>1086</v>
      </c>
      <c r="M618" t="s">
        <v>735</v>
      </c>
      <c r="N618" t="s">
        <v>1655</v>
      </c>
      <c r="AA618" t="str">
        <f t="shared" si="27"/>
        <v>Isoniazid Oral Liquid 50 mg/5 mL (p)</v>
      </c>
    </row>
    <row r="619" spans="2:27" x14ac:dyDescent="0.25">
      <c r="B619" s="1" t="s">
        <v>1087</v>
      </c>
      <c r="C619" s="1" t="s">
        <v>1088</v>
      </c>
      <c r="D619" s="1" t="s">
        <v>4</v>
      </c>
      <c r="E619" s="1" t="s">
        <v>381</v>
      </c>
      <c r="G619" s="10">
        <v>0.73</v>
      </c>
      <c r="H619" s="13" t="s">
        <v>1617</v>
      </c>
      <c r="I619" s="13" t="s">
        <v>1618</v>
      </c>
      <c r="AA619" t="str">
        <f t="shared" si="27"/>
        <v>Isosorbide dinitrate Tablet 5 mg</v>
      </c>
    </row>
    <row r="620" spans="2:27" x14ac:dyDescent="0.25">
      <c r="B620" s="1" t="s">
        <v>1087</v>
      </c>
      <c r="C620" s="1" t="s">
        <v>1088</v>
      </c>
      <c r="D620" s="1" t="s">
        <v>4</v>
      </c>
      <c r="E620" s="1" t="s">
        <v>220</v>
      </c>
      <c r="AA620" t="str">
        <f t="shared" si="27"/>
        <v>Isosorbide dinitrate Tablet 10 mg</v>
      </c>
    </row>
    <row r="621" spans="2:27" x14ac:dyDescent="0.25">
      <c r="B621" s="1" t="s">
        <v>1089</v>
      </c>
      <c r="C621" s="1" t="s">
        <v>1090</v>
      </c>
      <c r="D621" s="1" t="s">
        <v>4</v>
      </c>
      <c r="E621" s="1" t="s">
        <v>1091</v>
      </c>
      <c r="AA621" t="str">
        <f t="shared" si="27"/>
        <v>Ispaghula Granules/ Husk/ Powder</v>
      </c>
    </row>
    <row r="622" spans="2:27" x14ac:dyDescent="0.25">
      <c r="B622" s="1" t="s">
        <v>236</v>
      </c>
      <c r="C622" s="1" t="s">
        <v>237</v>
      </c>
      <c r="D622" s="1" t="s">
        <v>19</v>
      </c>
      <c r="E622" s="1" t="s">
        <v>238</v>
      </c>
      <c r="M622" t="s">
        <v>735</v>
      </c>
      <c r="N622" t="s">
        <v>1656</v>
      </c>
      <c r="AA622" t="str">
        <f t="shared" si="27"/>
        <v>Itraconazole Capsule 200 mg</v>
      </c>
    </row>
    <row r="623" spans="2:27" x14ac:dyDescent="0.25">
      <c r="B623" s="1" t="s">
        <v>236</v>
      </c>
      <c r="C623" s="1" t="s">
        <v>237</v>
      </c>
      <c r="D623" s="1" t="s">
        <v>19</v>
      </c>
      <c r="E623" s="1" t="s">
        <v>239</v>
      </c>
      <c r="G623" s="1">
        <v>4.41</v>
      </c>
      <c r="H623" s="13" t="s">
        <v>1616</v>
      </c>
      <c r="I623" s="13" t="s">
        <v>1618</v>
      </c>
      <c r="M623" t="s">
        <v>735</v>
      </c>
      <c r="N623" t="s">
        <v>1656</v>
      </c>
      <c r="AA623" t="str">
        <f t="shared" si="27"/>
        <v>Itraconazole Oral liquid 10 mg/mL</v>
      </c>
    </row>
    <row r="624" spans="2:27" x14ac:dyDescent="0.25">
      <c r="B624" s="1"/>
      <c r="C624" s="1"/>
      <c r="D624" s="1"/>
      <c r="E624" s="1"/>
      <c r="J624" t="s">
        <v>530</v>
      </c>
      <c r="K624" t="str">
        <f t="shared" si="28"/>
        <v xml:space="preserve"> </v>
      </c>
      <c r="L624">
        <f t="shared" si="29"/>
        <v>0</v>
      </c>
      <c r="AA624" t="str">
        <f t="shared" si="27"/>
        <v xml:space="preserve"> </v>
      </c>
    </row>
    <row r="625" spans="2:27" x14ac:dyDescent="0.25">
      <c r="B625" s="2" t="s">
        <v>1092</v>
      </c>
      <c r="C625" s="1"/>
      <c r="D625" s="1"/>
      <c r="E625" s="1"/>
      <c r="J625" t="s">
        <v>530</v>
      </c>
      <c r="K625" t="str">
        <f t="shared" si="28"/>
        <v xml:space="preserve"> </v>
      </c>
      <c r="L625" t="str">
        <f t="shared" si="29"/>
        <v>7.4-Medicines used in Palliative Care</v>
      </c>
      <c r="AA625" t="str">
        <f t="shared" si="27"/>
        <v xml:space="preserve"> </v>
      </c>
    </row>
    <row r="626" spans="2:27" x14ac:dyDescent="0.25">
      <c r="B626" s="1" t="s">
        <v>236</v>
      </c>
      <c r="C626" s="1" t="s">
        <v>237</v>
      </c>
      <c r="D626" s="1" t="s">
        <v>19</v>
      </c>
      <c r="E626" s="1" t="s">
        <v>240</v>
      </c>
      <c r="M626" t="s">
        <v>735</v>
      </c>
      <c r="N626" t="s">
        <v>1656</v>
      </c>
      <c r="AA626" t="str">
        <f t="shared" si="27"/>
        <v>Itraconazole Capsule 100 mg</v>
      </c>
    </row>
    <row r="627" spans="2:27" x14ac:dyDescent="0.25">
      <c r="B627" s="1" t="s">
        <v>1093</v>
      </c>
      <c r="C627" s="1" t="s">
        <v>1094</v>
      </c>
      <c r="D627" s="1" t="s">
        <v>4</v>
      </c>
      <c r="E627" s="1" t="s">
        <v>391</v>
      </c>
      <c r="AA627" t="str">
        <f t="shared" si="27"/>
        <v>IUD containing Copper As licensed</v>
      </c>
    </row>
    <row r="628" spans="2:27" x14ac:dyDescent="0.25">
      <c r="B628" s="1" t="s">
        <v>241</v>
      </c>
      <c r="C628" s="1" t="s">
        <v>242</v>
      </c>
      <c r="D628" s="1" t="s">
        <v>4</v>
      </c>
      <c r="E628" s="1" t="s">
        <v>243</v>
      </c>
      <c r="M628" t="s">
        <v>735</v>
      </c>
      <c r="N628" t="s">
        <v>1648</v>
      </c>
      <c r="O628" t="s">
        <v>1649</v>
      </c>
      <c r="AA628" t="str">
        <f t="shared" si="27"/>
        <v>Ivermectin Tablet 12 mg</v>
      </c>
    </row>
    <row r="629" spans="2:27" x14ac:dyDescent="0.25">
      <c r="B629" s="1" t="s">
        <v>241</v>
      </c>
      <c r="C629" s="1" t="s">
        <v>242</v>
      </c>
      <c r="D629" s="1" t="s">
        <v>4</v>
      </c>
      <c r="E629" s="1" t="s">
        <v>244</v>
      </c>
      <c r="M629" t="s">
        <v>735</v>
      </c>
      <c r="N629" t="s">
        <v>1648</v>
      </c>
      <c r="O629" t="s">
        <v>1649</v>
      </c>
      <c r="AA629" t="str">
        <f t="shared" si="27"/>
        <v>Ivermectin Tablet 6 mg</v>
      </c>
    </row>
    <row r="630" spans="2:27" x14ac:dyDescent="0.25">
      <c r="B630" s="1" t="s">
        <v>1095</v>
      </c>
      <c r="C630" s="1" t="s">
        <v>1096</v>
      </c>
      <c r="D630" s="1" t="s">
        <v>4</v>
      </c>
      <c r="E630" s="1" t="s">
        <v>391</v>
      </c>
      <c r="AA630" t="str">
        <f t="shared" si="27"/>
        <v>Japanese encephalitis vaccine As licensed</v>
      </c>
    </row>
    <row r="631" spans="2:27" x14ac:dyDescent="0.25">
      <c r="B631" s="1" t="s">
        <v>1097</v>
      </c>
      <c r="C631" s="1" t="s">
        <v>1098</v>
      </c>
      <c r="D631" s="1" t="s">
        <v>4</v>
      </c>
      <c r="E631" s="1" t="s">
        <v>1099</v>
      </c>
      <c r="M631" t="s">
        <v>1630</v>
      </c>
      <c r="N631" t="s">
        <v>1631</v>
      </c>
      <c r="AA631" t="str">
        <f t="shared" si="27"/>
        <v xml:space="preserve">Ketamine Injection 10 mg/mL
</v>
      </c>
    </row>
    <row r="632" spans="2:27" x14ac:dyDescent="0.25">
      <c r="B632" s="1" t="s">
        <v>1097</v>
      </c>
      <c r="C632" s="1" t="s">
        <v>1098</v>
      </c>
      <c r="D632" s="1" t="s">
        <v>4</v>
      </c>
      <c r="E632" s="1" t="s">
        <v>182</v>
      </c>
      <c r="G632" s="14">
        <v>10.81</v>
      </c>
      <c r="H632" s="14" t="s">
        <v>1626</v>
      </c>
      <c r="M632" t="s">
        <v>1630</v>
      </c>
      <c r="N632" t="s">
        <v>1631</v>
      </c>
      <c r="AA632" t="str">
        <f t="shared" si="27"/>
        <v>Ketamine Injection 50 mg/mL</v>
      </c>
    </row>
    <row r="633" spans="2:27" x14ac:dyDescent="0.25">
      <c r="B633" s="1" t="s">
        <v>249</v>
      </c>
      <c r="C633" s="1" t="s">
        <v>250</v>
      </c>
      <c r="D633" s="1" t="s">
        <v>4</v>
      </c>
      <c r="E633" s="1" t="s">
        <v>28</v>
      </c>
      <c r="AA633" t="str">
        <f t="shared" si="27"/>
        <v>Labetalol Tablet 50 mg</v>
      </c>
    </row>
    <row r="634" spans="2:27" x14ac:dyDescent="0.25">
      <c r="B634" s="1" t="s">
        <v>249</v>
      </c>
      <c r="C634" s="1" t="s">
        <v>250</v>
      </c>
      <c r="D634" s="1" t="s">
        <v>4</v>
      </c>
      <c r="E634" s="1" t="s">
        <v>29</v>
      </c>
      <c r="AA634" t="str">
        <f t="shared" si="27"/>
        <v>Labetalol Tablet 100 mg</v>
      </c>
    </row>
    <row r="635" spans="2:27" x14ac:dyDescent="0.25">
      <c r="B635" s="1" t="s">
        <v>249</v>
      </c>
      <c r="C635" s="1" t="s">
        <v>250</v>
      </c>
      <c r="D635" s="1" t="s">
        <v>4</v>
      </c>
      <c r="E635" s="1" t="s">
        <v>847</v>
      </c>
      <c r="G635" s="1">
        <v>44.58</v>
      </c>
      <c r="H635" s="1" t="s">
        <v>1622</v>
      </c>
      <c r="AA635" t="str">
        <f t="shared" si="27"/>
        <v>Labetalol Injection 5 mg/mL</v>
      </c>
    </row>
    <row r="636" spans="2:27" x14ac:dyDescent="0.25">
      <c r="B636" s="1" t="s">
        <v>1100</v>
      </c>
      <c r="C636" s="1" t="s">
        <v>1101</v>
      </c>
      <c r="D636" s="1" t="s">
        <v>19</v>
      </c>
      <c r="E636" s="1" t="s">
        <v>1102</v>
      </c>
      <c r="G636" s="14">
        <v>1.1000000000000001</v>
      </c>
      <c r="H636" s="1" t="s">
        <v>1622</v>
      </c>
      <c r="AA636" t="str">
        <f t="shared" si="27"/>
        <v>Lactulose Oral liquid 10 g/15 mL</v>
      </c>
    </row>
    <row r="637" spans="2:27" x14ac:dyDescent="0.25">
      <c r="B637" s="1" t="s">
        <v>1103</v>
      </c>
      <c r="C637" s="1" t="s">
        <v>1101</v>
      </c>
      <c r="D637" s="1" t="s">
        <v>19</v>
      </c>
      <c r="E637" s="1" t="s">
        <v>1104</v>
      </c>
      <c r="G637" s="14">
        <v>1.1000000000000001</v>
      </c>
      <c r="H637" s="1" t="s">
        <v>1622</v>
      </c>
      <c r="AA637" t="str">
        <f t="shared" si="27"/>
        <v>Lactulose Oral Liquid 10 g/15 mL</v>
      </c>
    </row>
    <row r="638" spans="2:27" x14ac:dyDescent="0.25">
      <c r="B638" s="1" t="s">
        <v>251</v>
      </c>
      <c r="C638" s="1" t="s">
        <v>252</v>
      </c>
      <c r="D638" s="1" t="s">
        <v>19</v>
      </c>
      <c r="E638" s="1" t="s">
        <v>102</v>
      </c>
      <c r="G638" s="1">
        <v>9.69</v>
      </c>
      <c r="H638" s="13" t="s">
        <v>1616</v>
      </c>
      <c r="I638" s="13" t="s">
        <v>1618</v>
      </c>
      <c r="M638" t="s">
        <v>735</v>
      </c>
      <c r="N638" t="s">
        <v>1658</v>
      </c>
      <c r="O638" t="s">
        <v>1659</v>
      </c>
      <c r="AA638" t="str">
        <f t="shared" si="27"/>
        <v>Lamivudine Tablet 150 mg</v>
      </c>
    </row>
    <row r="639" spans="2:27" x14ac:dyDescent="0.25">
      <c r="B639" s="1" t="s">
        <v>251</v>
      </c>
      <c r="C639" s="1" t="s">
        <v>252</v>
      </c>
      <c r="D639" s="1" t="s">
        <v>19</v>
      </c>
      <c r="E639" s="1" t="s">
        <v>29</v>
      </c>
      <c r="G639" s="1">
        <v>9.2799999999999994</v>
      </c>
      <c r="H639" s="13" t="s">
        <v>1616</v>
      </c>
      <c r="I639" s="13" t="s">
        <v>1618</v>
      </c>
      <c r="M639" t="s">
        <v>735</v>
      </c>
      <c r="N639" t="s">
        <v>1658</v>
      </c>
      <c r="O639" t="s">
        <v>1659</v>
      </c>
      <c r="AA639" t="str">
        <f t="shared" si="27"/>
        <v>Lamivudine Tablet 100 mg</v>
      </c>
    </row>
    <row r="640" spans="2:27" x14ac:dyDescent="0.25">
      <c r="B640" s="1" t="s">
        <v>1105</v>
      </c>
      <c r="C640" s="1" t="s">
        <v>1106</v>
      </c>
      <c r="D640" s="1" t="s">
        <v>8</v>
      </c>
      <c r="E640" s="1" t="s">
        <v>1107</v>
      </c>
      <c r="G640" s="14">
        <v>1523.03</v>
      </c>
      <c r="H640" s="14" t="s">
        <v>1624</v>
      </c>
      <c r="AA640" t="str">
        <f t="shared" si="27"/>
        <v>L-Asparaginase Powder for Injection 10000 KU</v>
      </c>
    </row>
    <row r="641" spans="2:27" x14ac:dyDescent="0.25">
      <c r="B641" s="1" t="s">
        <v>1105</v>
      </c>
      <c r="C641" s="1" t="s">
        <v>1106</v>
      </c>
      <c r="D641" s="1" t="s">
        <v>8</v>
      </c>
      <c r="E641" s="1" t="s">
        <v>1108</v>
      </c>
      <c r="G641" s="14">
        <v>922.94</v>
      </c>
      <c r="H641" s="14" t="s">
        <v>1624</v>
      </c>
      <c r="AA641" t="str">
        <f t="shared" si="27"/>
        <v>L-Asparaginase Powder for Injection 5000 KU</v>
      </c>
    </row>
    <row r="642" spans="2:27" x14ac:dyDescent="0.25">
      <c r="B642" s="1" t="s">
        <v>261</v>
      </c>
      <c r="C642" s="1" t="s">
        <v>262</v>
      </c>
      <c r="D642" s="1" t="s">
        <v>4</v>
      </c>
      <c r="E642" s="1" t="s">
        <v>263</v>
      </c>
      <c r="AA642" t="str">
        <f t="shared" si="27"/>
        <v>Latanoprost Drops 0.005 %</v>
      </c>
    </row>
    <row r="643" spans="2:27" x14ac:dyDescent="0.25">
      <c r="B643" s="1" t="s">
        <v>264</v>
      </c>
      <c r="C643" s="1" t="s">
        <v>265</v>
      </c>
      <c r="D643" s="1" t="s">
        <v>8</v>
      </c>
      <c r="E643" s="1" t="s">
        <v>266</v>
      </c>
      <c r="G643" s="14">
        <v>260.66000000000003</v>
      </c>
      <c r="H643" s="14" t="s">
        <v>1619</v>
      </c>
      <c r="AA643" t="str">
        <f t="shared" si="27"/>
        <v>Lenalidomide Capsule 25 mg</v>
      </c>
    </row>
    <row r="644" spans="2:27" x14ac:dyDescent="0.25">
      <c r="B644" s="1" t="s">
        <v>264</v>
      </c>
      <c r="C644" s="1" t="s">
        <v>265</v>
      </c>
      <c r="D644" s="1" t="s">
        <v>8</v>
      </c>
      <c r="E644" s="1" t="s">
        <v>267</v>
      </c>
      <c r="G644" s="1">
        <v>59.98</v>
      </c>
      <c r="H644" s="13" t="s">
        <v>1616</v>
      </c>
      <c r="I644" s="13" t="s">
        <v>1618</v>
      </c>
      <c r="AA644" t="str">
        <f t="shared" si="27"/>
        <v>Lenalidomide Capsule 5 mg</v>
      </c>
    </row>
    <row r="645" spans="2:27" x14ac:dyDescent="0.25">
      <c r="B645" s="1" t="s">
        <v>374</v>
      </c>
      <c r="C645" s="1" t="s">
        <v>1109</v>
      </c>
      <c r="D645" s="1" t="s">
        <v>8</v>
      </c>
      <c r="E645" s="1" t="s">
        <v>582</v>
      </c>
      <c r="G645" s="10">
        <v>26.15</v>
      </c>
      <c r="H645" s="13" t="s">
        <v>1617</v>
      </c>
      <c r="I645" s="13" t="s">
        <v>1618</v>
      </c>
      <c r="AA645" t="str">
        <f t="shared" si="27"/>
        <v>Letrozole Tablet 2.5 mg</v>
      </c>
    </row>
    <row r="646" spans="2:27" x14ac:dyDescent="0.25">
      <c r="B646" s="1" t="s">
        <v>1110</v>
      </c>
      <c r="C646" s="1" t="s">
        <v>1111</v>
      </c>
      <c r="D646" s="1" t="s">
        <v>8</v>
      </c>
      <c r="E646" s="1" t="s">
        <v>1112</v>
      </c>
      <c r="G646" s="14">
        <v>2776</v>
      </c>
      <c r="H646" s="14" t="s">
        <v>1619</v>
      </c>
      <c r="AA646" t="str">
        <f t="shared" si="27"/>
        <v xml:space="preserve">Leuprolide acetate Powder for injection 3.75 mg </v>
      </c>
    </row>
    <row r="647" spans="2:27" x14ac:dyDescent="0.25">
      <c r="B647" s="1" t="s">
        <v>1110</v>
      </c>
      <c r="C647" s="1" t="s">
        <v>1111</v>
      </c>
      <c r="D647" s="1" t="s">
        <v>8</v>
      </c>
      <c r="E647" s="1" t="s">
        <v>1113</v>
      </c>
      <c r="F647" s="5" t="s">
        <v>555</v>
      </c>
      <c r="G647" s="14">
        <v>15233.93</v>
      </c>
      <c r="H647" s="14" t="s">
        <v>1620</v>
      </c>
      <c r="I647" t="s">
        <v>1621</v>
      </c>
      <c r="AA647" t="str">
        <f t="shared" si="27"/>
        <v>Leuprolide acetate Powder for injection 22.5 mg</v>
      </c>
    </row>
    <row r="648" spans="2:27" x14ac:dyDescent="0.25">
      <c r="B648" s="1" t="s">
        <v>1110</v>
      </c>
      <c r="C648" s="1" t="s">
        <v>1111</v>
      </c>
      <c r="D648" s="1" t="s">
        <v>8</v>
      </c>
      <c r="E648" s="1" t="s">
        <v>1114</v>
      </c>
      <c r="F648" s="5" t="s">
        <v>555</v>
      </c>
      <c r="G648" s="14">
        <v>8289.17</v>
      </c>
      <c r="H648" s="14" t="s">
        <v>1619</v>
      </c>
      <c r="I648" t="s">
        <v>1621</v>
      </c>
      <c r="AA648" t="str">
        <f t="shared" si="27"/>
        <v>Leuprolide acetate Powder for injection 11.25 mg</v>
      </c>
    </row>
    <row r="649" spans="2:27" x14ac:dyDescent="0.25">
      <c r="B649" s="1" t="s">
        <v>1115</v>
      </c>
      <c r="C649" s="1" t="s">
        <v>1116</v>
      </c>
      <c r="D649" s="1" t="s">
        <v>19</v>
      </c>
      <c r="E649" s="1" t="s">
        <v>309</v>
      </c>
      <c r="G649" s="10">
        <v>5.57</v>
      </c>
      <c r="H649" s="13" t="s">
        <v>1617</v>
      </c>
      <c r="I649" s="13" t="s">
        <v>1618</v>
      </c>
      <c r="M649" t="s">
        <v>651</v>
      </c>
      <c r="N649" t="s">
        <v>1642</v>
      </c>
      <c r="AA649" t="str">
        <f t="shared" ref="AA649:AA712" si="30">C649&amp;" "&amp;E649</f>
        <v>Levetiracetam Tablet 250 mg</v>
      </c>
    </row>
    <row r="650" spans="2:27" x14ac:dyDescent="0.25">
      <c r="B650" s="1" t="s">
        <v>1115</v>
      </c>
      <c r="C650" s="1" t="s">
        <v>1116</v>
      </c>
      <c r="D650" s="1" t="s">
        <v>19</v>
      </c>
      <c r="E650" s="1" t="s">
        <v>85</v>
      </c>
      <c r="G650" s="10">
        <v>11.4</v>
      </c>
      <c r="H650" s="13" t="s">
        <v>1617</v>
      </c>
      <c r="I650" s="13" t="s">
        <v>1618</v>
      </c>
      <c r="M650" t="s">
        <v>651</v>
      </c>
      <c r="N650" t="s">
        <v>1642</v>
      </c>
      <c r="AA650" t="str">
        <f t="shared" si="30"/>
        <v>Levetiracetam Tablet 500 mg</v>
      </c>
    </row>
    <row r="651" spans="2:27" x14ac:dyDescent="0.25">
      <c r="B651" s="1" t="s">
        <v>1115</v>
      </c>
      <c r="C651" s="1" t="s">
        <v>1116</v>
      </c>
      <c r="D651" s="1" t="s">
        <v>19</v>
      </c>
      <c r="E651" s="1" t="s">
        <v>96</v>
      </c>
      <c r="G651" s="10">
        <v>16.98</v>
      </c>
      <c r="H651" s="13" t="s">
        <v>1617</v>
      </c>
      <c r="I651" s="13" t="s">
        <v>1618</v>
      </c>
      <c r="M651" t="s">
        <v>651</v>
      </c>
      <c r="N651" t="s">
        <v>1642</v>
      </c>
      <c r="AA651" t="str">
        <f t="shared" si="30"/>
        <v>Levetiracetam Tablet 750 mg</v>
      </c>
    </row>
    <row r="652" spans="2:27" x14ac:dyDescent="0.25">
      <c r="B652" s="1" t="s">
        <v>1115</v>
      </c>
      <c r="C652" s="1" t="s">
        <v>1116</v>
      </c>
      <c r="D652" s="1" t="s">
        <v>19</v>
      </c>
      <c r="E652" s="1" t="s">
        <v>1117</v>
      </c>
      <c r="G652" s="11">
        <v>16.32</v>
      </c>
      <c r="H652" s="13" t="s">
        <v>1617</v>
      </c>
      <c r="I652" s="13" t="s">
        <v>1618</v>
      </c>
      <c r="M652" t="s">
        <v>651</v>
      </c>
      <c r="N652" t="s">
        <v>1642</v>
      </c>
      <c r="AA652" t="str">
        <f t="shared" si="30"/>
        <v>Levetiracetam Modified Release Tablet 750 mg</v>
      </c>
    </row>
    <row r="653" spans="2:27" x14ac:dyDescent="0.25">
      <c r="B653" s="1" t="s">
        <v>1115</v>
      </c>
      <c r="C653" s="1" t="s">
        <v>1116</v>
      </c>
      <c r="D653" s="1" t="s">
        <v>19</v>
      </c>
      <c r="E653" s="1" t="s">
        <v>833</v>
      </c>
      <c r="G653" s="14">
        <v>3.54</v>
      </c>
      <c r="H653" s="1" t="s">
        <v>1622</v>
      </c>
      <c r="M653" t="s">
        <v>651</v>
      </c>
      <c r="N653" t="s">
        <v>1642</v>
      </c>
      <c r="AA653" t="str">
        <f t="shared" si="30"/>
        <v xml:space="preserve">Levetiracetam Oral liquid 100 mg/mL (p) </v>
      </c>
    </row>
    <row r="654" spans="2:27" x14ac:dyDescent="0.25">
      <c r="B654" s="1" t="s">
        <v>1115</v>
      </c>
      <c r="C654" s="1" t="s">
        <v>1116</v>
      </c>
      <c r="D654" s="1" t="s">
        <v>19</v>
      </c>
      <c r="E654" s="1" t="s">
        <v>20</v>
      </c>
      <c r="G654" s="14">
        <v>20.53</v>
      </c>
      <c r="H654" s="14" t="s">
        <v>1626</v>
      </c>
      <c r="M654" t="s">
        <v>651</v>
      </c>
      <c r="N654" t="s">
        <v>1642</v>
      </c>
      <c r="AA654" t="str">
        <f t="shared" si="30"/>
        <v>Levetiracetam Injection 100 mg/mL</v>
      </c>
    </row>
    <row r="655" spans="2:27" x14ac:dyDescent="0.25">
      <c r="B655" s="1" t="s">
        <v>1118</v>
      </c>
      <c r="C655" s="1" t="s">
        <v>1119</v>
      </c>
      <c r="D655" s="1" t="s">
        <v>4</v>
      </c>
      <c r="E655" s="1" t="s">
        <v>1120</v>
      </c>
      <c r="G655" s="11">
        <v>2.2999999999999998</v>
      </c>
      <c r="H655" s="13" t="s">
        <v>1617</v>
      </c>
      <c r="I655" s="13" t="s">
        <v>1618</v>
      </c>
      <c r="M655" t="s">
        <v>651</v>
      </c>
      <c r="N655" t="s">
        <v>1645</v>
      </c>
      <c r="AA655" t="str">
        <f t="shared" si="30"/>
        <v xml:space="preserve">Levodopa (A) + Carbidopa (B) Tablet 100 mg (A) + 25 mg (B) </v>
      </c>
    </row>
    <row r="656" spans="2:27" x14ac:dyDescent="0.25">
      <c r="B656" s="1" t="s">
        <v>1118</v>
      </c>
      <c r="C656" s="1" t="s">
        <v>1119</v>
      </c>
      <c r="D656" s="1" t="s">
        <v>4</v>
      </c>
      <c r="E656" s="1" t="s">
        <v>1121</v>
      </c>
      <c r="G656" s="11">
        <v>1.57</v>
      </c>
      <c r="H656" s="13" t="s">
        <v>1617</v>
      </c>
      <c r="I656" s="13" t="s">
        <v>1618</v>
      </c>
      <c r="M656" t="s">
        <v>651</v>
      </c>
      <c r="N656" t="s">
        <v>1645</v>
      </c>
      <c r="AA656" t="str">
        <f t="shared" si="30"/>
        <v>Levodopa (A) + Carbidopa (B) Tablet 100 mg (A) + 10 mg (B)</v>
      </c>
    </row>
    <row r="657" spans="2:27" x14ac:dyDescent="0.25">
      <c r="B657" s="1"/>
      <c r="C657" s="1"/>
      <c r="D657" s="1"/>
      <c r="E657" s="1"/>
      <c r="J657" t="s">
        <v>530</v>
      </c>
      <c r="K657" t="str">
        <f t="shared" ref="K657:K706" si="31">C657&amp;" "&amp;E657</f>
        <v xml:space="preserve"> </v>
      </c>
      <c r="L657">
        <f t="shared" ref="L657:L706" si="32">B657</f>
        <v>0</v>
      </c>
      <c r="AA657" t="str">
        <f t="shared" si="30"/>
        <v xml:space="preserve"> </v>
      </c>
    </row>
    <row r="658" spans="2:27" x14ac:dyDescent="0.25">
      <c r="B658" s="2" t="s">
        <v>1122</v>
      </c>
      <c r="C658" s="1"/>
      <c r="D658" s="1"/>
      <c r="E658" s="1"/>
      <c r="J658" t="s">
        <v>530</v>
      </c>
      <c r="K658" t="str">
        <f t="shared" si="31"/>
        <v xml:space="preserve"> </v>
      </c>
      <c r="L658" t="str">
        <f t="shared" si="32"/>
        <v>Section 8 Medicines affecting Blood</v>
      </c>
      <c r="AA658" t="str">
        <f t="shared" si="30"/>
        <v xml:space="preserve"> </v>
      </c>
    </row>
    <row r="659" spans="2:27" x14ac:dyDescent="0.25">
      <c r="B659" s="2" t="s">
        <v>1123</v>
      </c>
      <c r="C659" s="1"/>
      <c r="D659" s="1"/>
      <c r="E659" s="1"/>
      <c r="J659" t="s">
        <v>530</v>
      </c>
      <c r="K659" t="str">
        <f t="shared" si="31"/>
        <v xml:space="preserve"> </v>
      </c>
      <c r="L659" t="str">
        <f t="shared" si="32"/>
        <v>8.1- Antianaemia Medicines</v>
      </c>
      <c r="AA659" t="str">
        <f t="shared" si="30"/>
        <v xml:space="preserve"> </v>
      </c>
    </row>
    <row r="660" spans="2:27" x14ac:dyDescent="0.25">
      <c r="B660" s="1" t="s">
        <v>1118</v>
      </c>
      <c r="C660" s="1" t="s">
        <v>1119</v>
      </c>
      <c r="D660" s="1" t="s">
        <v>4</v>
      </c>
      <c r="E660" s="1" t="s">
        <v>1124</v>
      </c>
      <c r="G660" s="10">
        <v>3.94</v>
      </c>
      <c r="H660" s="13" t="s">
        <v>1617</v>
      </c>
      <c r="I660" s="13" t="s">
        <v>1618</v>
      </c>
      <c r="M660" t="s">
        <v>651</v>
      </c>
      <c r="N660" t="s">
        <v>1645</v>
      </c>
      <c r="AA660" t="str">
        <f t="shared" si="30"/>
        <v>Levodopa (A) + Carbidopa (B) Tablet 250 mg (A) + 25 mg (B)</v>
      </c>
    </row>
    <row r="661" spans="2:27" x14ac:dyDescent="0.25">
      <c r="B661" s="1" t="s">
        <v>1118</v>
      </c>
      <c r="C661" s="1" t="s">
        <v>1119</v>
      </c>
      <c r="D661" s="1" t="s">
        <v>4</v>
      </c>
      <c r="E661" s="1" t="s">
        <v>1125</v>
      </c>
      <c r="G661" s="14">
        <v>4.22</v>
      </c>
      <c r="H661" s="1" t="s">
        <v>1622</v>
      </c>
      <c r="M661" t="s">
        <v>651</v>
      </c>
      <c r="N661" t="s">
        <v>1645</v>
      </c>
      <c r="AA661" t="str">
        <f t="shared" si="30"/>
        <v>Levodopa (A) + Carbidopa (B) Modified Release - Tablet 200 mg (A) + 50 mg (B)</v>
      </c>
    </row>
    <row r="662" spans="2:27" x14ac:dyDescent="0.25">
      <c r="B662" s="1" t="s">
        <v>1118</v>
      </c>
      <c r="C662" s="1" t="s">
        <v>1119</v>
      </c>
      <c r="D662" s="1" t="s">
        <v>4</v>
      </c>
      <c r="E662" s="1" t="s">
        <v>1126</v>
      </c>
      <c r="M662" t="s">
        <v>651</v>
      </c>
      <c r="N662" t="s">
        <v>1645</v>
      </c>
      <c r="AA662" t="str">
        <f t="shared" si="30"/>
        <v>Levodopa (A) + Carbidopa (B) Modified Release -
Tablet 100 mg (A) + 25 mg (B)</v>
      </c>
    </row>
    <row r="663" spans="2:27" x14ac:dyDescent="0.25">
      <c r="B663" s="1" t="s">
        <v>1127</v>
      </c>
      <c r="C663" s="1" t="s">
        <v>1128</v>
      </c>
      <c r="D663" s="1" t="s">
        <v>4</v>
      </c>
      <c r="E663" s="1" t="s">
        <v>309</v>
      </c>
      <c r="G663" s="10">
        <v>4.25</v>
      </c>
      <c r="H663" s="13" t="s">
        <v>1617</v>
      </c>
      <c r="I663" s="13" t="s">
        <v>1618</v>
      </c>
      <c r="M663" t="s">
        <v>735</v>
      </c>
      <c r="N663" t="s">
        <v>1655</v>
      </c>
      <c r="AA663" t="str">
        <f t="shared" si="30"/>
        <v>Levofloxacin Tablet 250 mg</v>
      </c>
    </row>
    <row r="664" spans="2:27" x14ac:dyDescent="0.25">
      <c r="B664" s="1" t="s">
        <v>1127</v>
      </c>
      <c r="C664" s="1" t="s">
        <v>1128</v>
      </c>
      <c r="D664" s="1" t="s">
        <v>4</v>
      </c>
      <c r="E664" s="1" t="s">
        <v>85</v>
      </c>
      <c r="G664" s="10">
        <v>7.85</v>
      </c>
      <c r="H664" s="13" t="s">
        <v>1617</v>
      </c>
      <c r="I664" s="13" t="s">
        <v>1618</v>
      </c>
      <c r="M664" t="s">
        <v>735</v>
      </c>
      <c r="N664" t="s">
        <v>1655</v>
      </c>
      <c r="AA664" t="str">
        <f t="shared" si="30"/>
        <v>Levofloxacin Tablet 500 mg</v>
      </c>
    </row>
    <row r="665" spans="2:27" x14ac:dyDescent="0.25">
      <c r="B665" s="1" t="s">
        <v>1127</v>
      </c>
      <c r="C665" s="1" t="s">
        <v>1128</v>
      </c>
      <c r="D665" s="1" t="s">
        <v>4</v>
      </c>
      <c r="E665" s="1" t="s">
        <v>96</v>
      </c>
      <c r="G665" s="10">
        <v>10.69</v>
      </c>
      <c r="H665" s="13" t="s">
        <v>1617</v>
      </c>
      <c r="I665" s="13" t="s">
        <v>1618</v>
      </c>
      <c r="M665" t="s">
        <v>735</v>
      </c>
      <c r="N665" t="s">
        <v>1655</v>
      </c>
      <c r="AA665" t="str">
        <f t="shared" si="30"/>
        <v>Levofloxacin Tablet 750 mg</v>
      </c>
    </row>
    <row r="666" spans="2:27" x14ac:dyDescent="0.25">
      <c r="B666" s="1" t="s">
        <v>270</v>
      </c>
      <c r="C666" s="1" t="s">
        <v>271</v>
      </c>
      <c r="D666" s="1" t="s">
        <v>4</v>
      </c>
      <c r="E666" s="1" t="s">
        <v>1129</v>
      </c>
      <c r="M666" t="s">
        <v>1675</v>
      </c>
      <c r="AA666" t="str">
        <f t="shared" si="30"/>
        <v>Levonorgestrel Tablet 0.75 mg</v>
      </c>
    </row>
    <row r="667" spans="2:27" x14ac:dyDescent="0.25">
      <c r="B667" s="1" t="s">
        <v>270</v>
      </c>
      <c r="C667" s="1" t="s">
        <v>271</v>
      </c>
      <c r="D667" s="1" t="s">
        <v>4</v>
      </c>
      <c r="E667" s="1" t="s">
        <v>272</v>
      </c>
      <c r="M667" t="s">
        <v>1675</v>
      </c>
      <c r="AA667" t="str">
        <f t="shared" si="30"/>
        <v>Levonorgestrel Tablet 1.5 mg</v>
      </c>
    </row>
    <row r="668" spans="2:27" x14ac:dyDescent="0.25">
      <c r="B668" s="1" t="s">
        <v>1130</v>
      </c>
      <c r="C668" s="1" t="s">
        <v>1131</v>
      </c>
      <c r="D668" s="1" t="s">
        <v>4</v>
      </c>
      <c r="E668" s="1" t="s">
        <v>1132</v>
      </c>
      <c r="M668" t="s">
        <v>1675</v>
      </c>
      <c r="AA668" t="str">
        <f t="shared" si="30"/>
        <v>Levothyroxine Tablet 37.50mcg</v>
      </c>
    </row>
    <row r="669" spans="2:27" x14ac:dyDescent="0.25">
      <c r="B669" s="1" t="s">
        <v>1130</v>
      </c>
      <c r="C669" s="1" t="s">
        <v>1131</v>
      </c>
      <c r="D669" s="1" t="s">
        <v>4</v>
      </c>
      <c r="E669" s="1" t="s">
        <v>1133</v>
      </c>
      <c r="M669" t="s">
        <v>1675</v>
      </c>
      <c r="AA669" t="str">
        <f t="shared" si="30"/>
        <v>Levothyroxine Tablet 100 mcg</v>
      </c>
    </row>
    <row r="670" spans="2:27" x14ac:dyDescent="0.25">
      <c r="B670" s="1" t="s">
        <v>1130</v>
      </c>
      <c r="C670" s="1" t="s">
        <v>1131</v>
      </c>
      <c r="D670" s="1" t="s">
        <v>4</v>
      </c>
      <c r="E670" s="1" t="s">
        <v>1134</v>
      </c>
      <c r="G670" s="10">
        <v>1.48</v>
      </c>
      <c r="H670" s="13" t="s">
        <v>1617</v>
      </c>
      <c r="I670" s="13" t="s">
        <v>1618</v>
      </c>
      <c r="M670" t="s">
        <v>1675</v>
      </c>
      <c r="AA670" t="str">
        <f t="shared" si="30"/>
        <v>Levothyroxine Tablet 112mcg</v>
      </c>
    </row>
    <row r="671" spans="2:27" x14ac:dyDescent="0.25">
      <c r="B671" s="1" t="s">
        <v>1130</v>
      </c>
      <c r="C671" s="1" t="s">
        <v>1131</v>
      </c>
      <c r="D671" s="1" t="s">
        <v>4</v>
      </c>
      <c r="E671" s="1" t="s">
        <v>1135</v>
      </c>
      <c r="M671" t="s">
        <v>1675</v>
      </c>
      <c r="AA671" t="str">
        <f t="shared" si="30"/>
        <v>Levothyroxine Tablet 12.5 mcg</v>
      </c>
    </row>
    <row r="672" spans="2:27" x14ac:dyDescent="0.25">
      <c r="B672" s="1" t="s">
        <v>1130</v>
      </c>
      <c r="C672" s="1" t="s">
        <v>1131</v>
      </c>
      <c r="D672" s="1" t="s">
        <v>4</v>
      </c>
      <c r="E672" s="1" t="s">
        <v>1136</v>
      </c>
      <c r="M672" t="s">
        <v>1675</v>
      </c>
      <c r="AA672" t="str">
        <f t="shared" si="30"/>
        <v>Levothyroxine Tablet 125 mcg</v>
      </c>
    </row>
    <row r="673" spans="2:27" x14ac:dyDescent="0.25">
      <c r="B673" s="1"/>
      <c r="C673" s="1"/>
      <c r="D673" s="1"/>
      <c r="E673" s="1"/>
      <c r="J673" t="s">
        <v>530</v>
      </c>
      <c r="K673" t="str">
        <f t="shared" si="31"/>
        <v xml:space="preserve"> </v>
      </c>
      <c r="L673">
        <f t="shared" si="32"/>
        <v>0</v>
      </c>
      <c r="AA673" t="str">
        <f t="shared" si="30"/>
        <v xml:space="preserve"> </v>
      </c>
    </row>
    <row r="674" spans="2:27" x14ac:dyDescent="0.25">
      <c r="B674" s="2" t="s">
        <v>1137</v>
      </c>
      <c r="C674" s="1"/>
      <c r="D674" s="1"/>
      <c r="E674" s="1"/>
      <c r="J674" t="s">
        <v>530</v>
      </c>
      <c r="K674" t="str">
        <f t="shared" si="31"/>
        <v xml:space="preserve"> </v>
      </c>
      <c r="L674" t="str">
        <f t="shared" si="32"/>
        <v>8.2 - Medicines affecting Coagulation</v>
      </c>
      <c r="AA674" t="str">
        <f t="shared" si="30"/>
        <v xml:space="preserve"> </v>
      </c>
    </row>
    <row r="675" spans="2:27" x14ac:dyDescent="0.25">
      <c r="B675" s="1" t="s">
        <v>1130</v>
      </c>
      <c r="C675" s="1" t="s">
        <v>1131</v>
      </c>
      <c r="D675" s="1" t="s">
        <v>4</v>
      </c>
      <c r="E675" s="1" t="s">
        <v>1138</v>
      </c>
      <c r="G675" s="10">
        <v>1.59</v>
      </c>
      <c r="H675" s="13" t="s">
        <v>1617</v>
      </c>
      <c r="I675" s="13" t="s">
        <v>1618</v>
      </c>
      <c r="M675" t="s">
        <v>1675</v>
      </c>
      <c r="AA675" t="str">
        <f t="shared" si="30"/>
        <v>Levothyroxine Tablet 150 mcg</v>
      </c>
    </row>
    <row r="676" spans="2:27" x14ac:dyDescent="0.25">
      <c r="B676" s="1" t="s">
        <v>1130</v>
      </c>
      <c r="C676" s="1" t="s">
        <v>1131</v>
      </c>
      <c r="D676" s="1" t="s">
        <v>4</v>
      </c>
      <c r="E676" s="1" t="s">
        <v>1139</v>
      </c>
      <c r="G676" s="10">
        <v>1.29</v>
      </c>
      <c r="H676" s="13" t="s">
        <v>1617</v>
      </c>
      <c r="I676" s="13" t="s">
        <v>1618</v>
      </c>
      <c r="M676" t="s">
        <v>1675</v>
      </c>
      <c r="AA676" t="str">
        <f t="shared" si="30"/>
        <v>Levothyroxine Tablet 25 mcg</v>
      </c>
    </row>
    <row r="677" spans="2:27" x14ac:dyDescent="0.25">
      <c r="B677" s="1" t="s">
        <v>1130</v>
      </c>
      <c r="C677" s="1" t="s">
        <v>1131</v>
      </c>
      <c r="D677" s="1" t="s">
        <v>4</v>
      </c>
      <c r="E677" s="1" t="s">
        <v>1140</v>
      </c>
      <c r="G677" s="10">
        <v>0.92</v>
      </c>
      <c r="H677" s="13" t="s">
        <v>1617</v>
      </c>
      <c r="I677" s="13" t="s">
        <v>1618</v>
      </c>
      <c r="M677" t="s">
        <v>1675</v>
      </c>
      <c r="AA677" t="str">
        <f t="shared" si="30"/>
        <v>Levothyroxine Tablet 50 mcg</v>
      </c>
    </row>
    <row r="678" spans="2:27" x14ac:dyDescent="0.25">
      <c r="B678" s="1" t="s">
        <v>1130</v>
      </c>
      <c r="C678" s="1" t="s">
        <v>1131</v>
      </c>
      <c r="D678" s="1" t="s">
        <v>4</v>
      </c>
      <c r="E678" s="1" t="s">
        <v>1141</v>
      </c>
      <c r="G678" s="14">
        <v>1.44</v>
      </c>
      <c r="H678" s="1" t="s">
        <v>1623</v>
      </c>
      <c r="I678" t="s">
        <v>1621</v>
      </c>
      <c r="M678" t="s">
        <v>1675</v>
      </c>
      <c r="AA678" t="str">
        <f t="shared" si="30"/>
        <v>Levothyroxine Tablet 62.5mcg</v>
      </c>
    </row>
    <row r="679" spans="2:27" x14ac:dyDescent="0.25">
      <c r="B679" s="1" t="s">
        <v>1130</v>
      </c>
      <c r="C679" s="1" t="s">
        <v>1131</v>
      </c>
      <c r="D679" s="1" t="s">
        <v>4</v>
      </c>
      <c r="E679" s="1" t="s">
        <v>1142</v>
      </c>
      <c r="G679" s="10">
        <v>1.28</v>
      </c>
      <c r="H679" s="13" t="s">
        <v>1617</v>
      </c>
      <c r="I679" s="13" t="s">
        <v>1618</v>
      </c>
      <c r="M679" t="s">
        <v>1675</v>
      </c>
      <c r="AA679" t="str">
        <f t="shared" si="30"/>
        <v>Levothyroxine Tablet 75 mcg</v>
      </c>
    </row>
    <row r="680" spans="2:27" x14ac:dyDescent="0.25">
      <c r="B680" s="1" t="s">
        <v>1130</v>
      </c>
      <c r="C680" s="1" t="s">
        <v>1131</v>
      </c>
      <c r="D680" s="1" t="s">
        <v>4</v>
      </c>
      <c r="E680" s="1" t="s">
        <v>1143</v>
      </c>
      <c r="G680" s="10">
        <v>1.47</v>
      </c>
      <c r="H680" s="13" t="s">
        <v>1617</v>
      </c>
      <c r="I680" s="13" t="s">
        <v>1618</v>
      </c>
      <c r="M680" t="s">
        <v>1675</v>
      </c>
      <c r="AA680" t="str">
        <f t="shared" si="30"/>
        <v>Levothyroxine Tablet 88 mcg</v>
      </c>
    </row>
    <row r="681" spans="2:27" x14ac:dyDescent="0.25">
      <c r="B681" s="1" t="s">
        <v>1144</v>
      </c>
      <c r="C681" s="1" t="s">
        <v>274</v>
      </c>
      <c r="D681" s="1" t="s">
        <v>4</v>
      </c>
      <c r="E681" s="1" t="s">
        <v>1145</v>
      </c>
      <c r="M681" t="s">
        <v>1630</v>
      </c>
      <c r="N681" t="s">
        <v>1632</v>
      </c>
      <c r="AA681" t="str">
        <f t="shared" si="30"/>
        <v>Lignocaine Injection 1 %</v>
      </c>
    </row>
    <row r="682" spans="2:27" x14ac:dyDescent="0.25">
      <c r="B682" s="1" t="s">
        <v>1144</v>
      </c>
      <c r="C682" s="1" t="s">
        <v>274</v>
      </c>
      <c r="D682" s="1" t="s">
        <v>4</v>
      </c>
      <c r="E682" s="1" t="s">
        <v>1146</v>
      </c>
      <c r="M682" t="s">
        <v>1630</v>
      </c>
      <c r="N682" t="s">
        <v>1632</v>
      </c>
      <c r="AA682" t="str">
        <f t="shared" si="30"/>
        <v>Lignocaine Injection 2 %</v>
      </c>
    </row>
    <row r="683" spans="2:27" x14ac:dyDescent="0.25">
      <c r="B683" s="1" t="s">
        <v>1144</v>
      </c>
      <c r="C683" s="1" t="s">
        <v>274</v>
      </c>
      <c r="D683" s="1" t="s">
        <v>4</v>
      </c>
      <c r="E683" s="1" t="s">
        <v>1147</v>
      </c>
      <c r="M683" t="s">
        <v>1630</v>
      </c>
      <c r="N683" t="s">
        <v>1632</v>
      </c>
      <c r="AA683" t="str">
        <f t="shared" si="30"/>
        <v>Lignocaine Injection 5 % with 7.5 % glucose</v>
      </c>
    </row>
    <row r="684" spans="2:27" x14ac:dyDescent="0.25">
      <c r="B684" s="1" t="s">
        <v>1148</v>
      </c>
      <c r="C684" s="1" t="s">
        <v>274</v>
      </c>
      <c r="D684" s="1" t="s">
        <v>19</v>
      </c>
      <c r="E684" s="1" t="s">
        <v>1053</v>
      </c>
      <c r="M684" t="s">
        <v>1667</v>
      </c>
      <c r="AA684" t="str">
        <f t="shared" si="30"/>
        <v>Lignocaine Injection 2%</v>
      </c>
    </row>
    <row r="685" spans="2:27" x14ac:dyDescent="0.25">
      <c r="B685" s="1" t="s">
        <v>1149</v>
      </c>
      <c r="C685" s="1" t="s">
        <v>1150</v>
      </c>
      <c r="D685" s="1" t="s">
        <v>4</v>
      </c>
      <c r="E685" s="1" t="s">
        <v>1151</v>
      </c>
      <c r="M685" t="s">
        <v>1630</v>
      </c>
      <c r="N685" t="s">
        <v>1632</v>
      </c>
      <c r="AA685" t="str">
        <f t="shared" si="30"/>
        <v xml:space="preserve">Lignocaine (A) + Adrenaline (B) Injection 1% (A) + 1:200000
(5 mcg/mL) (B)
</v>
      </c>
    </row>
    <row r="686" spans="2:27" x14ac:dyDescent="0.25">
      <c r="B686" s="1" t="s">
        <v>1149</v>
      </c>
      <c r="C686" s="1" t="s">
        <v>1150</v>
      </c>
      <c r="D686" s="1" t="s">
        <v>4</v>
      </c>
      <c r="E686" s="1" t="s">
        <v>1152</v>
      </c>
      <c r="M686" t="s">
        <v>1630</v>
      </c>
      <c r="N686" t="s">
        <v>1632</v>
      </c>
      <c r="AA686" t="str">
        <f t="shared" si="30"/>
        <v>Lignocaine (A) + Adrenaline (B) Injection 2% (A) + 1:200000 (5 mcg/mL) (B)</v>
      </c>
    </row>
    <row r="687" spans="2:27" x14ac:dyDescent="0.25">
      <c r="B687" s="1" t="s">
        <v>1144</v>
      </c>
      <c r="C687" s="1" t="s">
        <v>1153</v>
      </c>
      <c r="D687" s="1" t="s">
        <v>4</v>
      </c>
      <c r="E687" s="1" t="s">
        <v>1154</v>
      </c>
      <c r="M687" t="s">
        <v>1630</v>
      </c>
      <c r="N687" t="s">
        <v>1632</v>
      </c>
      <c r="AA687" t="str">
        <f t="shared" si="30"/>
        <v>Lignocaine* Topical forms 2-5 %</v>
      </c>
    </row>
    <row r="688" spans="2:27" x14ac:dyDescent="0.25">
      <c r="B688" s="1"/>
      <c r="C688" s="1"/>
      <c r="D688" s="1"/>
      <c r="E688" s="1"/>
      <c r="J688" t="s">
        <v>530</v>
      </c>
      <c r="K688" t="str">
        <f t="shared" si="31"/>
        <v xml:space="preserve"> </v>
      </c>
      <c r="L688">
        <f t="shared" si="32"/>
        <v>0</v>
      </c>
      <c r="AA688" t="str">
        <f t="shared" si="30"/>
        <v xml:space="preserve"> </v>
      </c>
    </row>
    <row r="689" spans="2:27" x14ac:dyDescent="0.25">
      <c r="B689" s="2" t="s">
        <v>1155</v>
      </c>
      <c r="C689" s="1"/>
      <c r="D689" s="1"/>
      <c r="E689" s="1"/>
      <c r="J689" t="s">
        <v>530</v>
      </c>
      <c r="K689" t="str">
        <f t="shared" si="31"/>
        <v xml:space="preserve"> </v>
      </c>
      <c r="L689" t="str">
        <f t="shared" si="32"/>
        <v>Section 9 Blood products and Plasma substitutes</v>
      </c>
      <c r="AA689" t="str">
        <f t="shared" si="30"/>
        <v xml:space="preserve"> </v>
      </c>
    </row>
    <row r="690" spans="2:27" x14ac:dyDescent="0.25">
      <c r="B690" s="2" t="s">
        <v>1156</v>
      </c>
      <c r="C690" s="1"/>
      <c r="D690" s="1"/>
      <c r="E690" s="1"/>
      <c r="J690" t="s">
        <v>530</v>
      </c>
      <c r="K690" t="str">
        <f t="shared" si="31"/>
        <v xml:space="preserve"> </v>
      </c>
      <c r="L690" t="str">
        <f t="shared" si="32"/>
        <v>9.1 - Blood and Blood components</v>
      </c>
      <c r="AA690" t="str">
        <f t="shared" si="30"/>
        <v xml:space="preserve"> </v>
      </c>
    </row>
    <row r="691" spans="2:27" x14ac:dyDescent="0.25">
      <c r="B691" s="1" t="s">
        <v>276</v>
      </c>
      <c r="C691" s="1" t="s">
        <v>277</v>
      </c>
      <c r="D691" s="1" t="s">
        <v>4</v>
      </c>
      <c r="E691" s="1" t="s">
        <v>844</v>
      </c>
      <c r="G691" s="10">
        <v>31.81</v>
      </c>
      <c r="H691" s="13" t="s">
        <v>1617</v>
      </c>
      <c r="I691" s="13" t="s">
        <v>1618</v>
      </c>
      <c r="M691" t="s">
        <v>735</v>
      </c>
      <c r="N691" t="s">
        <v>1655</v>
      </c>
      <c r="AA691" t="str">
        <f t="shared" si="30"/>
        <v>Linezolid Tablet 600 mg</v>
      </c>
    </row>
    <row r="692" spans="2:27" x14ac:dyDescent="0.25">
      <c r="B692" s="1" t="s">
        <v>276</v>
      </c>
      <c r="C692" s="1" t="s">
        <v>277</v>
      </c>
      <c r="D692" s="1" t="s">
        <v>4</v>
      </c>
      <c r="E692" s="1" t="s">
        <v>278</v>
      </c>
      <c r="M692" t="s">
        <v>735</v>
      </c>
      <c r="N692" t="s">
        <v>1655</v>
      </c>
      <c r="AA692" t="str">
        <f t="shared" si="30"/>
        <v>Linezolid Tablet 300 mg</v>
      </c>
    </row>
    <row r="693" spans="2:27" x14ac:dyDescent="0.25">
      <c r="B693" s="1" t="s">
        <v>1157</v>
      </c>
      <c r="C693" s="1" t="s">
        <v>1158</v>
      </c>
      <c r="D693" s="1" t="s">
        <v>19</v>
      </c>
      <c r="E693" s="1" t="s">
        <v>278</v>
      </c>
      <c r="G693" s="14">
        <v>1.45</v>
      </c>
      <c r="H693" s="1" t="s">
        <v>1622</v>
      </c>
      <c r="AA693" t="str">
        <f t="shared" si="30"/>
        <v>Lithium Tablet 300 mg</v>
      </c>
    </row>
    <row r="694" spans="2:27" x14ac:dyDescent="0.25">
      <c r="B694" s="1" t="s">
        <v>1159</v>
      </c>
      <c r="C694" s="1" t="s">
        <v>1160</v>
      </c>
      <c r="D694" s="1" t="s">
        <v>19</v>
      </c>
      <c r="E694" s="1" t="s">
        <v>140</v>
      </c>
      <c r="G694" s="10">
        <v>2.0299999999999998</v>
      </c>
      <c r="H694" s="13" t="s">
        <v>1617</v>
      </c>
      <c r="I694" s="13" t="s">
        <v>1618</v>
      </c>
      <c r="AA694" t="str">
        <f t="shared" si="30"/>
        <v>Loperamide Tablet 2 mg</v>
      </c>
    </row>
    <row r="695" spans="2:27" x14ac:dyDescent="0.25">
      <c r="B695" s="1"/>
      <c r="C695" s="1"/>
      <c r="D695" s="1"/>
      <c r="E695" s="1"/>
      <c r="J695" t="s">
        <v>530</v>
      </c>
      <c r="K695" t="str">
        <f t="shared" si="31"/>
        <v xml:space="preserve"> </v>
      </c>
      <c r="L695">
        <f t="shared" si="32"/>
        <v>0</v>
      </c>
      <c r="AA695" t="str">
        <f t="shared" si="30"/>
        <v xml:space="preserve"> </v>
      </c>
    </row>
    <row r="696" spans="2:27" x14ac:dyDescent="0.25">
      <c r="B696" s="2" t="s">
        <v>1161</v>
      </c>
      <c r="C696" s="1"/>
      <c r="D696" s="1"/>
      <c r="E696" s="1"/>
      <c r="J696" t="s">
        <v>530</v>
      </c>
      <c r="K696" t="str">
        <f t="shared" si="31"/>
        <v xml:space="preserve"> </v>
      </c>
      <c r="L696" t="str">
        <f t="shared" si="32"/>
        <v>9.2 - Plasma substitutes</v>
      </c>
      <c r="AA696" t="str">
        <f t="shared" si="30"/>
        <v xml:space="preserve"> </v>
      </c>
    </row>
    <row r="697" spans="2:27" x14ac:dyDescent="0.25">
      <c r="B697" s="1" t="s">
        <v>282</v>
      </c>
      <c r="C697" s="1" t="s">
        <v>280</v>
      </c>
      <c r="D697" s="1" t="s">
        <v>19</v>
      </c>
      <c r="E697" s="1" t="s">
        <v>1120</v>
      </c>
      <c r="M697" t="s">
        <v>735</v>
      </c>
      <c r="N697" t="s">
        <v>1658</v>
      </c>
      <c r="O697" t="s">
        <v>1662</v>
      </c>
      <c r="AA697" t="str">
        <f t="shared" si="30"/>
        <v xml:space="preserve">Lopinavir (A) + Ritonavir (B) Tablet 100 mg (A) + 25 mg (B) </v>
      </c>
    </row>
    <row r="698" spans="2:27" x14ac:dyDescent="0.25">
      <c r="B698" s="1"/>
      <c r="C698" s="1"/>
      <c r="D698" s="1"/>
      <c r="E698" s="1"/>
      <c r="J698" t="s">
        <v>530</v>
      </c>
      <c r="K698" t="str">
        <f t="shared" si="31"/>
        <v xml:space="preserve"> </v>
      </c>
      <c r="L698">
        <f t="shared" si="32"/>
        <v>0</v>
      </c>
      <c r="AA698" t="str">
        <f t="shared" si="30"/>
        <v xml:space="preserve"> </v>
      </c>
    </row>
    <row r="699" spans="2:27" x14ac:dyDescent="0.25">
      <c r="B699" s="2" t="s">
        <v>1162</v>
      </c>
      <c r="C699" s="1"/>
      <c r="D699" s="1"/>
      <c r="E699" s="1"/>
      <c r="J699" t="s">
        <v>530</v>
      </c>
      <c r="K699" t="str">
        <f t="shared" si="31"/>
        <v xml:space="preserve"> </v>
      </c>
      <c r="L699" t="str">
        <f t="shared" si="32"/>
        <v>9.3 - Plasma fractions for specific use</v>
      </c>
      <c r="AA699" t="str">
        <f t="shared" si="30"/>
        <v xml:space="preserve"> </v>
      </c>
    </row>
    <row r="700" spans="2:27" x14ac:dyDescent="0.25">
      <c r="B700" s="1" t="s">
        <v>282</v>
      </c>
      <c r="C700" s="1" t="s">
        <v>280</v>
      </c>
      <c r="D700" s="1" t="s">
        <v>19</v>
      </c>
      <c r="E700" s="1" t="s">
        <v>1163</v>
      </c>
      <c r="G700" s="14">
        <v>42.78</v>
      </c>
      <c r="H700" s="1" t="s">
        <v>1622</v>
      </c>
      <c r="M700" t="s">
        <v>735</v>
      </c>
      <c r="N700" t="s">
        <v>1658</v>
      </c>
      <c r="O700" t="s">
        <v>1662</v>
      </c>
      <c r="AA700" t="str">
        <f t="shared" si="30"/>
        <v>Lopinavir (A) + Ritonavir (B) Tablet 200 mg (A) + 50 mg (B)</v>
      </c>
    </row>
    <row r="701" spans="2:27" x14ac:dyDescent="0.25">
      <c r="B701" s="1" t="s">
        <v>282</v>
      </c>
      <c r="C701" s="1" t="s">
        <v>280</v>
      </c>
      <c r="D701" s="1" t="s">
        <v>19</v>
      </c>
      <c r="E701" s="1" t="s">
        <v>283</v>
      </c>
      <c r="M701" t="s">
        <v>735</v>
      </c>
      <c r="N701" t="s">
        <v>1658</v>
      </c>
      <c r="O701" t="s">
        <v>1662</v>
      </c>
      <c r="AA701" t="str">
        <f t="shared" si="30"/>
        <v>Lopinavir (A) + Ritonavir (B) Oral Liquid 80 mg (A) + 20 mg (B) /mL (p)</v>
      </c>
    </row>
    <row r="702" spans="2:27" x14ac:dyDescent="0.25">
      <c r="B702" s="1" t="s">
        <v>282</v>
      </c>
      <c r="C702" s="1" t="s">
        <v>280</v>
      </c>
      <c r="D702" s="1" t="s">
        <v>19</v>
      </c>
      <c r="E702" s="1" t="s">
        <v>284</v>
      </c>
      <c r="M702" t="s">
        <v>735</v>
      </c>
      <c r="N702" t="s">
        <v>1658</v>
      </c>
      <c r="O702" t="s">
        <v>1662</v>
      </c>
      <c r="AA702" t="str">
        <f t="shared" si="30"/>
        <v>Lopinavir (A) + Ritonavir (B) Capsule/ Sachet (containing pellets/granules) 40 mg (A) +
10 mg (B) (p)</v>
      </c>
    </row>
    <row r="703" spans="2:27" x14ac:dyDescent="0.25">
      <c r="B703" s="1" t="s">
        <v>285</v>
      </c>
      <c r="C703" s="1" t="s">
        <v>286</v>
      </c>
      <c r="D703" s="1" t="s">
        <v>4</v>
      </c>
      <c r="E703" s="1" t="s">
        <v>196</v>
      </c>
      <c r="G703" s="10">
        <v>2.06</v>
      </c>
      <c r="H703" s="13" t="s">
        <v>1617</v>
      </c>
      <c r="I703" s="13" t="s">
        <v>1618</v>
      </c>
      <c r="M703" t="s">
        <v>651</v>
      </c>
      <c r="N703" t="s">
        <v>1642</v>
      </c>
      <c r="AA703" t="str">
        <f t="shared" si="30"/>
        <v>Lorazepam Tablet 1 mg</v>
      </c>
    </row>
    <row r="704" spans="2:27" x14ac:dyDescent="0.25">
      <c r="B704" s="1"/>
      <c r="C704" s="1"/>
      <c r="D704" s="1"/>
      <c r="E704" s="1"/>
      <c r="J704" t="s">
        <v>530</v>
      </c>
      <c r="K704" t="str">
        <f t="shared" si="31"/>
        <v xml:space="preserve"> </v>
      </c>
      <c r="L704">
        <f t="shared" si="32"/>
        <v>0</v>
      </c>
      <c r="AA704" t="str">
        <f t="shared" si="30"/>
        <v xml:space="preserve"> </v>
      </c>
    </row>
    <row r="705" spans="2:27" x14ac:dyDescent="0.25">
      <c r="B705" s="2" t="s">
        <v>1164</v>
      </c>
      <c r="C705" s="1"/>
      <c r="D705" s="1"/>
      <c r="E705" s="1"/>
      <c r="J705" t="s">
        <v>530</v>
      </c>
      <c r="K705" t="str">
        <f t="shared" si="31"/>
        <v xml:space="preserve"> </v>
      </c>
      <c r="L705" t="str">
        <f t="shared" si="32"/>
        <v>Section 10 Cardiovascular Medicines</v>
      </c>
      <c r="AA705" t="str">
        <f t="shared" si="30"/>
        <v xml:space="preserve"> </v>
      </c>
    </row>
    <row r="706" spans="2:27" x14ac:dyDescent="0.25">
      <c r="B706" s="2" t="s">
        <v>1165</v>
      </c>
      <c r="C706" s="1"/>
      <c r="D706" s="1"/>
      <c r="E706" s="1"/>
      <c r="J706" t="s">
        <v>530</v>
      </c>
      <c r="K706" t="str">
        <f t="shared" si="31"/>
        <v xml:space="preserve"> </v>
      </c>
      <c r="L706" t="str">
        <f t="shared" si="32"/>
        <v>10.1-Medicines used in Angina</v>
      </c>
      <c r="AA706" t="str">
        <f t="shared" si="30"/>
        <v xml:space="preserve"> </v>
      </c>
    </row>
    <row r="707" spans="2:27" x14ac:dyDescent="0.25">
      <c r="B707" s="1" t="s">
        <v>285</v>
      </c>
      <c r="C707" s="1" t="s">
        <v>286</v>
      </c>
      <c r="D707" s="1" t="s">
        <v>4</v>
      </c>
      <c r="E707" s="1" t="s">
        <v>140</v>
      </c>
      <c r="G707" s="10">
        <v>2.5099999999999998</v>
      </c>
      <c r="H707" s="13" t="s">
        <v>1617</v>
      </c>
      <c r="I707" s="13" t="s">
        <v>1618</v>
      </c>
      <c r="M707" t="s">
        <v>651</v>
      </c>
      <c r="N707" t="s">
        <v>1642</v>
      </c>
      <c r="AA707" t="str">
        <f t="shared" si="30"/>
        <v>Lorazepam Tablet 2 mg</v>
      </c>
    </row>
    <row r="708" spans="2:27" x14ac:dyDescent="0.25">
      <c r="B708" s="1" t="s">
        <v>285</v>
      </c>
      <c r="C708" s="1" t="s">
        <v>286</v>
      </c>
      <c r="D708" s="1" t="s">
        <v>4</v>
      </c>
      <c r="E708" s="1" t="s">
        <v>898</v>
      </c>
      <c r="M708" t="s">
        <v>651</v>
      </c>
      <c r="N708" t="s">
        <v>1642</v>
      </c>
      <c r="AA708" t="str">
        <f t="shared" si="30"/>
        <v>Lorazepam Injection 2 mg/mL</v>
      </c>
    </row>
    <row r="709" spans="2:27" x14ac:dyDescent="0.25">
      <c r="B709" s="1" t="s">
        <v>285</v>
      </c>
      <c r="C709" s="1" t="s">
        <v>286</v>
      </c>
      <c r="D709" s="1" t="s">
        <v>4</v>
      </c>
      <c r="E709" s="1" t="s">
        <v>287</v>
      </c>
      <c r="M709" t="s">
        <v>651</v>
      </c>
      <c r="N709" t="s">
        <v>1642</v>
      </c>
      <c r="AA709" t="str">
        <f t="shared" si="30"/>
        <v>Lorazepam Injection 4 mg/mL</v>
      </c>
    </row>
    <row r="710" spans="2:27" x14ac:dyDescent="0.25">
      <c r="B710" s="1" t="s">
        <v>1166</v>
      </c>
      <c r="C710" s="1" t="s">
        <v>1167</v>
      </c>
      <c r="D710" s="1" t="s">
        <v>19</v>
      </c>
      <c r="E710" s="1" t="s">
        <v>22</v>
      </c>
      <c r="M710" t="s">
        <v>651</v>
      </c>
      <c r="N710" t="s">
        <v>1642</v>
      </c>
      <c r="AA710" t="str">
        <f t="shared" si="30"/>
        <v>Magnesium sulphate Injection 500 mg/mL</v>
      </c>
    </row>
    <row r="711" spans="2:27" x14ac:dyDescent="0.25">
      <c r="B711" s="1">
        <v>15.3</v>
      </c>
      <c r="C711" s="1" t="s">
        <v>1168</v>
      </c>
      <c r="D711" s="1" t="s">
        <v>4</v>
      </c>
      <c r="E711" s="1" t="s">
        <v>855</v>
      </c>
      <c r="M711" t="s">
        <v>1682</v>
      </c>
      <c r="AA711" t="str">
        <f t="shared" si="30"/>
        <v>Mannitol Injection 10 %</v>
      </c>
    </row>
    <row r="712" spans="2:27" x14ac:dyDescent="0.25">
      <c r="B712" s="1">
        <v>15.3</v>
      </c>
      <c r="C712" s="1" t="s">
        <v>1168</v>
      </c>
      <c r="D712" s="1" t="s">
        <v>4</v>
      </c>
      <c r="E712" s="1" t="s">
        <v>1169</v>
      </c>
      <c r="G712" s="14">
        <v>0.31</v>
      </c>
      <c r="H712" s="1" t="s">
        <v>1622</v>
      </c>
      <c r="M712" t="s">
        <v>1682</v>
      </c>
      <c r="AA712" t="str">
        <f t="shared" si="30"/>
        <v>Mannitol Injection 20 %</v>
      </c>
    </row>
    <row r="713" spans="2:27" x14ac:dyDescent="0.25">
      <c r="B713" s="1" t="s">
        <v>1170</v>
      </c>
      <c r="C713" s="1" t="s">
        <v>1171</v>
      </c>
      <c r="D713" s="1" t="s">
        <v>4</v>
      </c>
      <c r="E713" s="1" t="s">
        <v>391</v>
      </c>
      <c r="AA713" t="str">
        <f t="shared" ref="AA713:AA776" si="33">C713&amp;" "&amp;E713</f>
        <v>Measles vaccine As licensed</v>
      </c>
    </row>
    <row r="714" spans="2:27" x14ac:dyDescent="0.25">
      <c r="B714" s="1" t="s">
        <v>1172</v>
      </c>
      <c r="C714" s="1" t="s">
        <v>1173</v>
      </c>
      <c r="D714" s="1" t="s">
        <v>4</v>
      </c>
      <c r="E714" s="1" t="s">
        <v>29</v>
      </c>
      <c r="G714" s="10">
        <v>2.59</v>
      </c>
      <c r="H714" s="13" t="s">
        <v>1617</v>
      </c>
      <c r="I714" s="13" t="s">
        <v>1618</v>
      </c>
      <c r="M714" t="s">
        <v>735</v>
      </c>
      <c r="N714" t="s">
        <v>1648</v>
      </c>
      <c r="O714" t="s">
        <v>1647</v>
      </c>
      <c r="AA714" t="str">
        <f t="shared" si="33"/>
        <v>Mebendazole Tablet 100 mg</v>
      </c>
    </row>
    <row r="715" spans="2:27" x14ac:dyDescent="0.25">
      <c r="B715" s="1" t="s">
        <v>1172</v>
      </c>
      <c r="C715" s="1" t="s">
        <v>1173</v>
      </c>
      <c r="D715" s="1" t="s">
        <v>4</v>
      </c>
      <c r="E715" s="1" t="s">
        <v>721</v>
      </c>
      <c r="F715" s="5" t="s">
        <v>555</v>
      </c>
      <c r="G715" s="14">
        <v>0.75</v>
      </c>
      <c r="H715" s="1" t="s">
        <v>1622</v>
      </c>
      <c r="M715" t="s">
        <v>735</v>
      </c>
      <c r="N715" t="s">
        <v>1648</v>
      </c>
      <c r="O715" t="s">
        <v>1647</v>
      </c>
      <c r="AA715" t="str">
        <f t="shared" si="33"/>
        <v>Mebendazole Oral liquid 100 mg/5 mL (p)</v>
      </c>
    </row>
    <row r="716" spans="2:27" x14ac:dyDescent="0.25">
      <c r="B716" s="1" t="s">
        <v>288</v>
      </c>
      <c r="C716" s="1" t="s">
        <v>289</v>
      </c>
      <c r="D716" s="1" t="s">
        <v>4</v>
      </c>
      <c r="E716" s="1" t="s">
        <v>381</v>
      </c>
      <c r="F716" s="5" t="s">
        <v>555</v>
      </c>
      <c r="M716" t="s">
        <v>1675</v>
      </c>
      <c r="AA716" t="str">
        <f t="shared" si="33"/>
        <v>Medroxyprogesterone acetate Tablet 5 mg</v>
      </c>
    </row>
    <row r="717" spans="2:27" x14ac:dyDescent="0.25">
      <c r="B717" s="1" t="s">
        <v>288</v>
      </c>
      <c r="C717" s="1" t="s">
        <v>289</v>
      </c>
      <c r="D717" s="1" t="s">
        <v>4</v>
      </c>
      <c r="E717" s="1" t="s">
        <v>1174</v>
      </c>
      <c r="G717" s="14">
        <v>5.57</v>
      </c>
      <c r="H717" s="1" t="s">
        <v>1622</v>
      </c>
      <c r="M717" t="s">
        <v>1675</v>
      </c>
      <c r="AA717" t="str">
        <f t="shared" si="33"/>
        <v xml:space="preserve">Medroxyprogesterone acetate Tablet 10 mg </v>
      </c>
    </row>
    <row r="718" spans="2:27" x14ac:dyDescent="0.25">
      <c r="B718" s="1" t="s">
        <v>288</v>
      </c>
      <c r="C718" s="1" t="s">
        <v>289</v>
      </c>
      <c r="D718" s="1" t="s">
        <v>4</v>
      </c>
      <c r="E718" s="1" t="s">
        <v>290</v>
      </c>
      <c r="G718" s="14">
        <v>258.42</v>
      </c>
      <c r="H718" s="14" t="s">
        <v>1619</v>
      </c>
      <c r="M718" t="s">
        <v>1675</v>
      </c>
      <c r="AA718" t="str">
        <f t="shared" si="33"/>
        <v>Medroxyprogesterone acetate Injection 150 mg/ mL</v>
      </c>
    </row>
    <row r="719" spans="2:27" x14ac:dyDescent="0.25">
      <c r="B719" s="1" t="s">
        <v>291</v>
      </c>
      <c r="C719" s="1" t="s">
        <v>292</v>
      </c>
      <c r="D719" s="1" t="s">
        <v>4</v>
      </c>
      <c r="E719" s="1" t="s">
        <v>721</v>
      </c>
      <c r="G719" s="10">
        <v>0.5</v>
      </c>
      <c r="H719" s="13" t="s">
        <v>1617</v>
      </c>
      <c r="I719" s="13" t="s">
        <v>1618</v>
      </c>
      <c r="M719" t="s">
        <v>1635</v>
      </c>
      <c r="N719" t="s">
        <v>1636</v>
      </c>
      <c r="AA719" t="str">
        <f t="shared" si="33"/>
        <v>Mefenamic acid Oral liquid 100 mg/5 mL (p)</v>
      </c>
    </row>
    <row r="720" spans="2:27" x14ac:dyDescent="0.25">
      <c r="B720" s="1"/>
      <c r="C720" s="1"/>
      <c r="D720" s="1"/>
      <c r="E720" s="1"/>
      <c r="J720" t="s">
        <v>530</v>
      </c>
      <c r="K720" t="str">
        <f t="shared" ref="K720:K763" si="34">C720&amp;" "&amp;E720</f>
        <v xml:space="preserve"> </v>
      </c>
      <c r="L720">
        <f t="shared" ref="L720:L763" si="35">B720</f>
        <v>0</v>
      </c>
      <c r="AA720" t="str">
        <f t="shared" si="33"/>
        <v xml:space="preserve"> </v>
      </c>
    </row>
    <row r="721" spans="2:27" x14ac:dyDescent="0.25">
      <c r="B721" s="2" t="s">
        <v>1175</v>
      </c>
      <c r="C721" s="1"/>
      <c r="D721" s="1"/>
      <c r="E721" s="1"/>
      <c r="J721" t="s">
        <v>530</v>
      </c>
      <c r="K721" t="str">
        <f t="shared" si="34"/>
        <v xml:space="preserve"> </v>
      </c>
      <c r="L721" t="str">
        <f t="shared" si="35"/>
        <v>10.2 - Antiarrhythmic medicines</v>
      </c>
      <c r="AA721" t="str">
        <f t="shared" si="33"/>
        <v xml:space="preserve"> </v>
      </c>
    </row>
    <row r="722" spans="2:27" x14ac:dyDescent="0.25">
      <c r="B722" s="1" t="s">
        <v>291</v>
      </c>
      <c r="C722" s="1" t="s">
        <v>292</v>
      </c>
      <c r="D722" s="1" t="s">
        <v>4</v>
      </c>
      <c r="E722" s="1" t="s">
        <v>309</v>
      </c>
      <c r="M722" t="s">
        <v>1635</v>
      </c>
      <c r="N722" t="s">
        <v>1636</v>
      </c>
      <c r="AA722" t="str">
        <f t="shared" si="33"/>
        <v>Mefenamic acid Tablet 250 mg</v>
      </c>
    </row>
    <row r="723" spans="2:27" ht="45" x14ac:dyDescent="0.25">
      <c r="B723" s="1" t="s">
        <v>1176</v>
      </c>
      <c r="C723" s="1" t="s">
        <v>1177</v>
      </c>
      <c r="D723" s="1" t="s">
        <v>8</v>
      </c>
      <c r="E723" s="4" t="s">
        <v>1178</v>
      </c>
      <c r="G723" s="14">
        <v>46.52</v>
      </c>
      <c r="H723" s="14" t="s">
        <v>1624</v>
      </c>
      <c r="AA723" t="str">
        <f t="shared" si="33"/>
        <v>Mefloquine# Tablet 250 mg
#Only for use as chemoprophylaxis for long  term travellers like military 
and travel troops, travelling from low endemic to high endemic area.</v>
      </c>
    </row>
    <row r="724" spans="2:27" x14ac:dyDescent="0.25">
      <c r="B724" s="1" t="s">
        <v>1179</v>
      </c>
      <c r="C724" s="1" t="s">
        <v>1180</v>
      </c>
      <c r="D724" s="1" t="s">
        <v>19</v>
      </c>
      <c r="E724" s="1" t="s">
        <v>1181</v>
      </c>
      <c r="M724" t="s">
        <v>1684</v>
      </c>
      <c r="AA724" t="str">
        <f t="shared" si="33"/>
        <v>Meglumine diatrizoate Injection 76 % w/v</v>
      </c>
    </row>
    <row r="725" spans="2:27" x14ac:dyDescent="0.25">
      <c r="B725" s="1" t="s">
        <v>1179</v>
      </c>
      <c r="C725" s="1" t="s">
        <v>1180</v>
      </c>
      <c r="D725" s="1" t="s">
        <v>19</v>
      </c>
      <c r="E725" s="1" t="s">
        <v>1182</v>
      </c>
      <c r="M725" t="s">
        <v>1684</v>
      </c>
      <c r="AA725" t="str">
        <f t="shared" si="33"/>
        <v>Meglumine diatrizoate Injection 60 % w/v</v>
      </c>
    </row>
    <row r="726" spans="2:27" x14ac:dyDescent="0.25">
      <c r="B726" s="1" t="s">
        <v>1183</v>
      </c>
      <c r="C726" s="1" t="s">
        <v>1184</v>
      </c>
      <c r="D726" s="1" t="s">
        <v>8</v>
      </c>
      <c r="E726" s="1" t="s">
        <v>381</v>
      </c>
      <c r="M726" t="s">
        <v>1668</v>
      </c>
      <c r="AA726" t="str">
        <f t="shared" si="33"/>
        <v>Melphalan Tablet 5 mg</v>
      </c>
    </row>
    <row r="727" spans="2:27" x14ac:dyDescent="0.25">
      <c r="B727" s="1" t="s">
        <v>1183</v>
      </c>
      <c r="C727" s="1" t="s">
        <v>1184</v>
      </c>
      <c r="D727" s="1" t="s">
        <v>8</v>
      </c>
      <c r="E727" s="1" t="s">
        <v>140</v>
      </c>
      <c r="M727" t="s">
        <v>1668</v>
      </c>
      <c r="AA727" t="str">
        <f t="shared" si="33"/>
        <v>Melphalan Tablet 2 mg</v>
      </c>
    </row>
    <row r="728" spans="2:27" x14ac:dyDescent="0.25">
      <c r="B728" s="1" t="s">
        <v>294</v>
      </c>
      <c r="C728" s="1" t="s">
        <v>295</v>
      </c>
      <c r="D728" s="1" t="s">
        <v>8</v>
      </c>
      <c r="E728" s="1" t="s">
        <v>296</v>
      </c>
      <c r="M728" t="s">
        <v>735</v>
      </c>
      <c r="N728" t="s">
        <v>1651</v>
      </c>
      <c r="O728" t="s">
        <v>1652</v>
      </c>
      <c r="AA728" t="str">
        <f t="shared" si="33"/>
        <v>Meropenem Powder for Injection 1000 mg (as trihydrate)</v>
      </c>
    </row>
    <row r="729" spans="2:27" x14ac:dyDescent="0.25">
      <c r="B729" s="1" t="s">
        <v>294</v>
      </c>
      <c r="C729" s="1" t="s">
        <v>295</v>
      </c>
      <c r="D729" s="1" t="s">
        <v>8</v>
      </c>
      <c r="E729" s="1" t="s">
        <v>297</v>
      </c>
      <c r="M729" t="s">
        <v>735</v>
      </c>
      <c r="N729" t="s">
        <v>1651</v>
      </c>
      <c r="O729" t="s">
        <v>1652</v>
      </c>
      <c r="AA729" t="str">
        <f t="shared" si="33"/>
        <v>Meropenem Powder for Injection 500 mg (as trihydrate)</v>
      </c>
    </row>
    <row r="730" spans="2:27" x14ac:dyDescent="0.25">
      <c r="B730" s="1" t="s">
        <v>1185</v>
      </c>
      <c r="C730" s="1" t="s">
        <v>1186</v>
      </c>
      <c r="D730" s="1" t="s">
        <v>8</v>
      </c>
      <c r="E730" s="1" t="s">
        <v>20</v>
      </c>
      <c r="G730" s="10">
        <v>13.83</v>
      </c>
      <c r="H730" s="13" t="s">
        <v>1617</v>
      </c>
      <c r="I730" s="13" t="s">
        <v>1618</v>
      </c>
      <c r="AA730" t="str">
        <f t="shared" si="33"/>
        <v>Mesna Injection 100 mg/mL</v>
      </c>
    </row>
    <row r="731" spans="2:27" x14ac:dyDescent="0.25">
      <c r="B731" s="1" t="s">
        <v>298</v>
      </c>
      <c r="C731" s="1" t="s">
        <v>299</v>
      </c>
      <c r="D731" s="1" t="s">
        <v>4</v>
      </c>
      <c r="E731" s="1" t="s">
        <v>85</v>
      </c>
      <c r="G731" s="10">
        <v>1.77</v>
      </c>
      <c r="H731" s="13" t="s">
        <v>1617</v>
      </c>
      <c r="I731" s="13" t="s">
        <v>1618</v>
      </c>
      <c r="M731" t="s">
        <v>1675</v>
      </c>
      <c r="AA731" t="str">
        <f t="shared" si="33"/>
        <v>Metformin Tablet 500 mg</v>
      </c>
    </row>
    <row r="732" spans="2:27" x14ac:dyDescent="0.25">
      <c r="B732" s="1" t="s">
        <v>298</v>
      </c>
      <c r="C732" s="1" t="s">
        <v>299</v>
      </c>
      <c r="D732" s="1" t="s">
        <v>4</v>
      </c>
      <c r="E732" s="1" t="s">
        <v>38</v>
      </c>
      <c r="G732" s="10">
        <v>3.11</v>
      </c>
      <c r="H732" s="13" t="s">
        <v>1617</v>
      </c>
      <c r="I732" s="13" t="s">
        <v>1618</v>
      </c>
      <c r="M732" t="s">
        <v>1675</v>
      </c>
      <c r="AA732" t="str">
        <f t="shared" si="33"/>
        <v>Metformin Tablet 1000 mg</v>
      </c>
    </row>
    <row r="733" spans="2:27" x14ac:dyDescent="0.25">
      <c r="B733" s="1" t="s">
        <v>298</v>
      </c>
      <c r="C733" s="1" t="s">
        <v>299</v>
      </c>
      <c r="D733" s="1" t="s">
        <v>4</v>
      </c>
      <c r="E733" s="1" t="s">
        <v>300</v>
      </c>
      <c r="G733" s="11">
        <v>3.52</v>
      </c>
      <c r="H733" s="13" t="s">
        <v>1617</v>
      </c>
      <c r="I733" s="13" t="s">
        <v>1618</v>
      </c>
      <c r="M733" t="s">
        <v>1675</v>
      </c>
      <c r="AA733" t="str">
        <f t="shared" si="33"/>
        <v>Metformin Modified release Tablet 1000 mg</v>
      </c>
    </row>
    <row r="734" spans="2:27" x14ac:dyDescent="0.25">
      <c r="B734" s="1"/>
      <c r="C734" s="1"/>
      <c r="D734" s="1"/>
      <c r="E734" s="1"/>
      <c r="J734" t="s">
        <v>530</v>
      </c>
      <c r="K734" t="str">
        <f t="shared" si="34"/>
        <v xml:space="preserve"> </v>
      </c>
      <c r="L734">
        <f t="shared" si="35"/>
        <v>0</v>
      </c>
      <c r="AA734" t="str">
        <f t="shared" si="33"/>
        <v xml:space="preserve"> </v>
      </c>
    </row>
    <row r="735" spans="2:27" x14ac:dyDescent="0.25">
      <c r="B735" s="2" t="s">
        <v>1187</v>
      </c>
      <c r="C735" s="1"/>
      <c r="D735" s="1"/>
      <c r="E735" s="1"/>
      <c r="J735" t="s">
        <v>530</v>
      </c>
      <c r="K735" t="str">
        <f t="shared" si="34"/>
        <v xml:space="preserve"> </v>
      </c>
      <c r="L735" t="str">
        <f t="shared" si="35"/>
        <v>10.3 - Antihypertensive Medicines</v>
      </c>
      <c r="AA735" t="str">
        <f t="shared" si="33"/>
        <v xml:space="preserve"> </v>
      </c>
    </row>
    <row r="736" spans="2:27" x14ac:dyDescent="0.25">
      <c r="B736" s="1" t="s">
        <v>268</v>
      </c>
      <c r="C736" s="1" t="s">
        <v>304</v>
      </c>
      <c r="D736" s="1" t="s">
        <v>4</v>
      </c>
      <c r="E736" s="1" t="s">
        <v>381</v>
      </c>
      <c r="M736" t="s">
        <v>1635</v>
      </c>
      <c r="N736" t="s">
        <v>1639</v>
      </c>
      <c r="AA736" t="str">
        <f t="shared" si="33"/>
        <v>Methotrexate Tablet 5 mg</v>
      </c>
    </row>
    <row r="737" spans="2:27" x14ac:dyDescent="0.25">
      <c r="B737" s="1" t="s">
        <v>268</v>
      </c>
      <c r="C737" s="1" t="s">
        <v>304</v>
      </c>
      <c r="D737" s="1" t="s">
        <v>4</v>
      </c>
      <c r="E737" s="1" t="s">
        <v>220</v>
      </c>
      <c r="G737" s="14">
        <v>11.85</v>
      </c>
      <c r="H737" s="14" t="s">
        <v>1624</v>
      </c>
      <c r="M737" t="s">
        <v>1635</v>
      </c>
      <c r="N737" t="s">
        <v>1639</v>
      </c>
      <c r="AA737" t="str">
        <f t="shared" si="33"/>
        <v>Methotrexate Tablet 10 mg</v>
      </c>
    </row>
    <row r="738" spans="2:27" x14ac:dyDescent="0.25">
      <c r="B738" s="1" t="s">
        <v>268</v>
      </c>
      <c r="C738" s="1" t="s">
        <v>304</v>
      </c>
      <c r="D738" s="1" t="s">
        <v>4</v>
      </c>
      <c r="E738" s="1" t="s">
        <v>582</v>
      </c>
      <c r="G738" s="14">
        <v>4.74</v>
      </c>
      <c r="H738" s="14" t="s">
        <v>1624</v>
      </c>
      <c r="M738" t="s">
        <v>1635</v>
      </c>
      <c r="N738" t="s">
        <v>1639</v>
      </c>
      <c r="AA738" t="str">
        <f t="shared" si="33"/>
        <v>Methotrexate Tablet 2.5 mg</v>
      </c>
    </row>
    <row r="739" spans="2:27" x14ac:dyDescent="0.25">
      <c r="B739" s="1" t="s">
        <v>1188</v>
      </c>
      <c r="C739" s="1" t="s">
        <v>304</v>
      </c>
      <c r="D739" s="1" t="s">
        <v>19</v>
      </c>
      <c r="E739" s="1" t="s">
        <v>582</v>
      </c>
      <c r="G739" s="14">
        <v>4.74</v>
      </c>
      <c r="H739" s="14" t="s">
        <v>1624</v>
      </c>
      <c r="M739" t="s">
        <v>1668</v>
      </c>
      <c r="AA739" t="str">
        <f t="shared" si="33"/>
        <v>Methotrexate Tablet 2.5 mg</v>
      </c>
    </row>
    <row r="740" spans="2:27" x14ac:dyDescent="0.25">
      <c r="B740" s="1" t="s">
        <v>1188</v>
      </c>
      <c r="C740" s="1" t="s">
        <v>304</v>
      </c>
      <c r="D740" s="1" t="s">
        <v>19</v>
      </c>
      <c r="E740" s="1" t="s">
        <v>381</v>
      </c>
      <c r="M740" t="s">
        <v>1668</v>
      </c>
      <c r="AA740" t="str">
        <f t="shared" si="33"/>
        <v>Methotrexate Tablet 5 mg</v>
      </c>
    </row>
    <row r="741" spans="2:27" x14ac:dyDescent="0.25">
      <c r="B741" s="1" t="s">
        <v>1188</v>
      </c>
      <c r="C741" s="1" t="s">
        <v>304</v>
      </c>
      <c r="D741" s="1" t="s">
        <v>19</v>
      </c>
      <c r="E741" s="1" t="s">
        <v>220</v>
      </c>
      <c r="G741" s="14">
        <v>11.85</v>
      </c>
      <c r="H741" s="14" t="s">
        <v>1624</v>
      </c>
      <c r="M741" t="s">
        <v>1668</v>
      </c>
      <c r="AA741" t="str">
        <f t="shared" si="33"/>
        <v>Methotrexate Tablet 10 mg</v>
      </c>
    </row>
    <row r="742" spans="2:27" x14ac:dyDescent="0.25">
      <c r="B742" s="1" t="s">
        <v>1188</v>
      </c>
      <c r="C742" s="1" t="s">
        <v>304</v>
      </c>
      <c r="D742" s="1" t="s">
        <v>19</v>
      </c>
      <c r="E742" s="1" t="s">
        <v>182</v>
      </c>
      <c r="M742" t="s">
        <v>1668</v>
      </c>
      <c r="AA742" t="str">
        <f t="shared" si="33"/>
        <v>Methotrexate Injection 50 mg/mL</v>
      </c>
    </row>
    <row r="743" spans="2:27" x14ac:dyDescent="0.25">
      <c r="B743" s="1" t="s">
        <v>1189</v>
      </c>
      <c r="C743" s="1" t="s">
        <v>1190</v>
      </c>
      <c r="D743" s="1" t="s">
        <v>4</v>
      </c>
      <c r="E743" s="1" t="s">
        <v>1011</v>
      </c>
      <c r="G743" s="14">
        <v>13.33</v>
      </c>
      <c r="H743" s="14" t="s">
        <v>1626</v>
      </c>
      <c r="M743" t="s">
        <v>1679</v>
      </c>
      <c r="AA743" t="str">
        <f t="shared" si="33"/>
        <v>Methylergometrine Injection 0.2 mg/mL</v>
      </c>
    </row>
    <row r="744" spans="2:27" x14ac:dyDescent="0.25">
      <c r="B744" s="1" t="s">
        <v>1189</v>
      </c>
      <c r="C744" s="1" t="s">
        <v>1190</v>
      </c>
      <c r="D744" s="1" t="s">
        <v>4</v>
      </c>
      <c r="E744" s="1" t="s">
        <v>1191</v>
      </c>
      <c r="G744" s="14">
        <v>7.97</v>
      </c>
      <c r="H744" s="1" t="s">
        <v>1622</v>
      </c>
      <c r="M744" t="s">
        <v>1679</v>
      </c>
      <c r="AA744" t="str">
        <f t="shared" si="33"/>
        <v>Methylergometrine Tablet 0.125 mg</v>
      </c>
    </row>
    <row r="745" spans="2:27" x14ac:dyDescent="0.25">
      <c r="B745" s="1" t="s">
        <v>1192</v>
      </c>
      <c r="C745" s="4" t="s">
        <v>311</v>
      </c>
      <c r="D745" s="1" t="s">
        <v>19</v>
      </c>
      <c r="E745" s="1" t="s">
        <v>1193</v>
      </c>
      <c r="M745" t="s">
        <v>1675</v>
      </c>
      <c r="AA745" t="str">
        <f t="shared" si="33"/>
        <v>Methylprednisolone Injection 40mg/mL</v>
      </c>
    </row>
    <row r="746" spans="2:27" x14ac:dyDescent="0.25">
      <c r="B746" s="1">
        <v>27.3</v>
      </c>
      <c r="C746" s="4" t="s">
        <v>311</v>
      </c>
      <c r="D746" s="1" t="s">
        <v>19</v>
      </c>
      <c r="E746" s="1" t="s">
        <v>895</v>
      </c>
      <c r="M746" t="s">
        <v>1678</v>
      </c>
      <c r="AA746" t="str">
        <f t="shared" si="33"/>
        <v>Methylprednisolone Injection 40 mg/mL</v>
      </c>
    </row>
    <row r="747" spans="2:27" x14ac:dyDescent="0.25">
      <c r="B747" s="1" t="s">
        <v>1194</v>
      </c>
      <c r="C747" s="1" t="s">
        <v>1195</v>
      </c>
      <c r="D747" s="1" t="s">
        <v>4</v>
      </c>
      <c r="E747" s="1" t="s">
        <v>1196</v>
      </c>
      <c r="AA747" t="str">
        <f t="shared" si="33"/>
        <v>Methylrosanilinium chloride
(Gentian Violet) Topical preparation 0.25% to 2%</v>
      </c>
    </row>
    <row r="748" spans="2:27" x14ac:dyDescent="0.25">
      <c r="B748" s="1" t="s">
        <v>1197</v>
      </c>
      <c r="C748" s="1" t="s">
        <v>1198</v>
      </c>
      <c r="D748" s="1" t="s">
        <v>19</v>
      </c>
      <c r="E748" s="1" t="s">
        <v>643</v>
      </c>
      <c r="M748" t="s">
        <v>631</v>
      </c>
      <c r="N748" t="s">
        <v>1641</v>
      </c>
      <c r="AA748" t="str">
        <f t="shared" si="33"/>
        <v>Methylthioninium chloride (Methylene blue) Injection 10 mg/mL</v>
      </c>
    </row>
    <row r="749" spans="2:27" x14ac:dyDescent="0.25">
      <c r="B749" s="1" t="s">
        <v>1199</v>
      </c>
      <c r="C749" s="1" t="s">
        <v>1200</v>
      </c>
      <c r="D749" s="1" t="s">
        <v>19</v>
      </c>
      <c r="E749" s="1" t="s">
        <v>220</v>
      </c>
      <c r="G749" s="14">
        <v>1.2</v>
      </c>
      <c r="H749" s="14" t="s">
        <v>1624</v>
      </c>
      <c r="M749" t="s">
        <v>1668</v>
      </c>
      <c r="AA749" t="str">
        <f t="shared" si="33"/>
        <v>Metoclopramide Tablet 10 mg</v>
      </c>
    </row>
    <row r="750" spans="2:27" x14ac:dyDescent="0.25">
      <c r="B750" s="1" t="s">
        <v>1199</v>
      </c>
      <c r="C750" s="1" t="s">
        <v>1200</v>
      </c>
      <c r="D750" s="1" t="s">
        <v>19</v>
      </c>
      <c r="E750" s="1" t="s">
        <v>1201</v>
      </c>
      <c r="G750" s="14">
        <v>0.45</v>
      </c>
      <c r="H750" s="1" t="s">
        <v>1622</v>
      </c>
      <c r="M750" t="s">
        <v>1668</v>
      </c>
      <c r="AA750" t="str">
        <f t="shared" si="33"/>
        <v xml:space="preserve">Metoclopramide Oral liquid 5 mg/5 mL (p) </v>
      </c>
    </row>
    <row r="751" spans="2:27" x14ac:dyDescent="0.25">
      <c r="B751" s="1" t="s">
        <v>1199</v>
      </c>
      <c r="C751" s="1" t="s">
        <v>1200</v>
      </c>
      <c r="D751" s="1" t="s">
        <v>19</v>
      </c>
      <c r="E751" s="1" t="s">
        <v>847</v>
      </c>
      <c r="M751" t="s">
        <v>1668</v>
      </c>
      <c r="AA751" t="str">
        <f t="shared" si="33"/>
        <v>Metoclopramide Injection 5 mg/mL</v>
      </c>
    </row>
    <row r="752" spans="2:27" x14ac:dyDescent="0.25">
      <c r="B752" s="1"/>
      <c r="C752" s="1"/>
      <c r="D752" s="1"/>
      <c r="E752" s="1"/>
      <c r="J752" t="s">
        <v>530</v>
      </c>
      <c r="K752" t="str">
        <f t="shared" si="34"/>
        <v xml:space="preserve"> </v>
      </c>
      <c r="L752">
        <f t="shared" si="35"/>
        <v>0</v>
      </c>
      <c r="AA752" t="str">
        <f t="shared" si="33"/>
        <v xml:space="preserve"> </v>
      </c>
    </row>
    <row r="753" spans="2:27" x14ac:dyDescent="0.25">
      <c r="B753" s="2" t="s">
        <v>1202</v>
      </c>
      <c r="C753" s="1"/>
      <c r="D753" s="1"/>
      <c r="E753" s="1"/>
      <c r="J753" t="s">
        <v>530</v>
      </c>
      <c r="K753" t="str">
        <f t="shared" si="34"/>
        <v xml:space="preserve"> </v>
      </c>
      <c r="L753" t="str">
        <f t="shared" si="35"/>
        <v>10.4 - Medicines used in Shock and Heart failure</v>
      </c>
      <c r="AA753" t="str">
        <f t="shared" si="33"/>
        <v xml:space="preserve"> </v>
      </c>
    </row>
    <row r="754" spans="2:27" x14ac:dyDescent="0.25">
      <c r="B754" s="1" t="s">
        <v>1203</v>
      </c>
      <c r="C754" s="1" t="s">
        <v>1200</v>
      </c>
      <c r="D754" s="1" t="s">
        <v>4</v>
      </c>
      <c r="E754" s="1" t="s">
        <v>220</v>
      </c>
      <c r="G754" s="14">
        <v>1.2</v>
      </c>
      <c r="H754" s="14" t="s">
        <v>1624</v>
      </c>
      <c r="M754" t="s">
        <v>1666</v>
      </c>
      <c r="AA754" t="str">
        <f t="shared" si="33"/>
        <v>Metoclopramide Tablet 10 mg</v>
      </c>
    </row>
    <row r="755" spans="2:27" x14ac:dyDescent="0.25">
      <c r="B755" s="1" t="s">
        <v>1203</v>
      </c>
      <c r="C755" s="1" t="s">
        <v>1200</v>
      </c>
      <c r="D755" s="1" t="s">
        <v>4</v>
      </c>
      <c r="E755" s="1" t="s">
        <v>847</v>
      </c>
      <c r="M755" t="s">
        <v>1666</v>
      </c>
      <c r="AA755" t="str">
        <f t="shared" si="33"/>
        <v>Metoclopramide Injection 5 mg/mL</v>
      </c>
    </row>
    <row r="756" spans="2:27" x14ac:dyDescent="0.25">
      <c r="B756" s="1" t="s">
        <v>321</v>
      </c>
      <c r="C756" s="1" t="s">
        <v>315</v>
      </c>
      <c r="D756" s="1" t="s">
        <v>4</v>
      </c>
      <c r="E756" s="1" t="s">
        <v>132</v>
      </c>
      <c r="G756" s="14">
        <v>3.75</v>
      </c>
      <c r="H756" s="14" t="s">
        <v>1624</v>
      </c>
      <c r="M756" t="s">
        <v>1667</v>
      </c>
      <c r="AA756" t="str">
        <f t="shared" si="33"/>
        <v>Metoprolol Tablet 25 mg</v>
      </c>
    </row>
    <row r="757" spans="2:27" x14ac:dyDescent="0.25">
      <c r="B757" s="1" t="s">
        <v>321</v>
      </c>
      <c r="C757" s="1" t="s">
        <v>315</v>
      </c>
      <c r="D757" s="1" t="s">
        <v>4</v>
      </c>
      <c r="E757" s="1" t="s">
        <v>28</v>
      </c>
      <c r="G757" s="14">
        <v>5.21</v>
      </c>
      <c r="H757" s="14" t="s">
        <v>1624</v>
      </c>
      <c r="M757" t="s">
        <v>1667</v>
      </c>
      <c r="AA757" t="str">
        <f t="shared" si="33"/>
        <v>Metoprolol Tablet 50 mg</v>
      </c>
    </row>
    <row r="758" spans="2:27" x14ac:dyDescent="0.25">
      <c r="B758" s="1" t="s">
        <v>321</v>
      </c>
      <c r="C758" s="1" t="s">
        <v>315</v>
      </c>
      <c r="D758" s="1" t="s">
        <v>4</v>
      </c>
      <c r="E758" s="1" t="s">
        <v>29</v>
      </c>
      <c r="G758" s="14">
        <v>9.93</v>
      </c>
      <c r="H758" s="14" t="s">
        <v>1619</v>
      </c>
      <c r="M758" t="s">
        <v>1667</v>
      </c>
      <c r="AA758" t="str">
        <f t="shared" si="33"/>
        <v>Metoprolol Tablet 100 mg</v>
      </c>
    </row>
    <row r="759" spans="2:27" x14ac:dyDescent="0.25">
      <c r="B759" s="1" t="s">
        <v>321</v>
      </c>
      <c r="C759" s="1" t="s">
        <v>315</v>
      </c>
      <c r="D759" s="1" t="s">
        <v>4</v>
      </c>
      <c r="E759" s="1" t="s">
        <v>319</v>
      </c>
      <c r="G759" s="14">
        <v>13.37</v>
      </c>
      <c r="H759" s="14" t="s">
        <v>1619</v>
      </c>
      <c r="M759" t="s">
        <v>1667</v>
      </c>
      <c r="AA759" t="str">
        <f t="shared" si="33"/>
        <v>Metoprolol Modified Release Tablet 100 mg</v>
      </c>
    </row>
    <row r="760" spans="2:27" x14ac:dyDescent="0.25">
      <c r="B760" s="1" t="s">
        <v>321</v>
      </c>
      <c r="C760" s="1" t="s">
        <v>315</v>
      </c>
      <c r="D760" s="1" t="s">
        <v>19</v>
      </c>
      <c r="E760" s="1" t="s">
        <v>320</v>
      </c>
      <c r="M760" t="s">
        <v>1667</v>
      </c>
      <c r="AA760" t="str">
        <f t="shared" si="33"/>
        <v>Metoprolol Injection 1 mg/mL</v>
      </c>
    </row>
    <row r="761" spans="2:27" x14ac:dyDescent="0.25">
      <c r="B761" s="1" t="s">
        <v>1204</v>
      </c>
      <c r="C761" s="1" t="s">
        <v>1205</v>
      </c>
      <c r="D761" s="1" t="s">
        <v>4</v>
      </c>
      <c r="E761" s="1" t="s">
        <v>114</v>
      </c>
      <c r="G761" s="14">
        <v>0.73</v>
      </c>
      <c r="H761" s="14" t="s">
        <v>1624</v>
      </c>
      <c r="M761" t="s">
        <v>735</v>
      </c>
      <c r="N761" t="s">
        <v>1651</v>
      </c>
      <c r="O761" t="s">
        <v>1652</v>
      </c>
      <c r="AA761" t="str">
        <f t="shared" si="33"/>
        <v>Metronidazole Tablet 200 mg</v>
      </c>
    </row>
    <row r="762" spans="2:27" x14ac:dyDescent="0.25">
      <c r="B762" s="1"/>
      <c r="C762" s="1"/>
      <c r="D762" s="1"/>
      <c r="E762" s="1"/>
      <c r="J762" t="s">
        <v>530</v>
      </c>
      <c r="K762" t="str">
        <f t="shared" si="34"/>
        <v xml:space="preserve"> </v>
      </c>
      <c r="L762">
        <f t="shared" si="35"/>
        <v>0</v>
      </c>
      <c r="AA762" t="str">
        <f t="shared" si="33"/>
        <v xml:space="preserve"> </v>
      </c>
    </row>
    <row r="763" spans="2:27" x14ac:dyDescent="0.25">
      <c r="B763" s="2" t="s">
        <v>1206</v>
      </c>
      <c r="C763" s="1"/>
      <c r="D763" s="1"/>
      <c r="E763" s="1"/>
      <c r="J763" t="s">
        <v>530</v>
      </c>
      <c r="K763" t="str">
        <f t="shared" si="34"/>
        <v xml:space="preserve"> </v>
      </c>
      <c r="L763" t="str">
        <f t="shared" si="35"/>
        <v>10.5- Antiplatelet and Antithrombotic Medicines</v>
      </c>
      <c r="AA763" t="str">
        <f t="shared" si="33"/>
        <v xml:space="preserve"> </v>
      </c>
    </row>
    <row r="764" spans="2:27" x14ac:dyDescent="0.25">
      <c r="B764" s="1" t="s">
        <v>1204</v>
      </c>
      <c r="C764" s="1" t="s">
        <v>1205</v>
      </c>
      <c r="D764" s="1" t="s">
        <v>4</v>
      </c>
      <c r="E764" s="1" t="s">
        <v>511</v>
      </c>
      <c r="G764" s="14">
        <v>1.36</v>
      </c>
      <c r="H764" s="14" t="s">
        <v>1624</v>
      </c>
      <c r="M764" t="s">
        <v>735</v>
      </c>
      <c r="N764" t="s">
        <v>1651</v>
      </c>
      <c r="O764" t="s">
        <v>1652</v>
      </c>
      <c r="AA764" t="str">
        <f t="shared" si="33"/>
        <v>Metronidazole Tablet 400 mg</v>
      </c>
    </row>
    <row r="765" spans="2:27" x14ac:dyDescent="0.25">
      <c r="B765" s="1" t="s">
        <v>1204</v>
      </c>
      <c r="C765" s="1" t="s">
        <v>1205</v>
      </c>
      <c r="D765" s="1" t="s">
        <v>4</v>
      </c>
      <c r="E765" s="1" t="s">
        <v>656</v>
      </c>
      <c r="G765" s="14">
        <v>0.46</v>
      </c>
      <c r="H765" s="1" t="s">
        <v>1622</v>
      </c>
      <c r="M765" t="s">
        <v>735</v>
      </c>
      <c r="N765" t="s">
        <v>1651</v>
      </c>
      <c r="O765" t="s">
        <v>1652</v>
      </c>
      <c r="AA765" t="str">
        <f t="shared" si="33"/>
        <v xml:space="preserve">Metronidazole Oral liquid 200 mg/5 mL (p) </v>
      </c>
    </row>
    <row r="766" spans="2:27" x14ac:dyDescent="0.25">
      <c r="B766" s="1" t="s">
        <v>1204</v>
      </c>
      <c r="C766" s="1" t="s">
        <v>1205</v>
      </c>
      <c r="D766" s="1" t="s">
        <v>4</v>
      </c>
      <c r="E766" s="1" t="s">
        <v>1207</v>
      </c>
      <c r="G766" s="14">
        <v>0.19</v>
      </c>
      <c r="H766" s="1" t="s">
        <v>1622</v>
      </c>
      <c r="M766" t="s">
        <v>735</v>
      </c>
      <c r="N766" t="s">
        <v>1651</v>
      </c>
      <c r="O766" t="s">
        <v>1652</v>
      </c>
      <c r="AA766" t="str">
        <f t="shared" si="33"/>
        <v>Metronidazole Injection 500 mg/100 mL</v>
      </c>
    </row>
    <row r="767" spans="2:27" x14ac:dyDescent="0.25">
      <c r="B767" s="1" t="s">
        <v>1208</v>
      </c>
      <c r="C767" s="1" t="s">
        <v>1205</v>
      </c>
      <c r="D767" s="1" t="s">
        <v>4</v>
      </c>
      <c r="E767" s="1" t="s">
        <v>114</v>
      </c>
      <c r="G767" s="14">
        <v>0.73</v>
      </c>
      <c r="H767" s="14" t="s">
        <v>1624</v>
      </c>
      <c r="M767" t="s">
        <v>735</v>
      </c>
      <c r="AA767" t="str">
        <f t="shared" si="33"/>
        <v>Metronidazole Tablet 200 mg</v>
      </c>
    </row>
    <row r="768" spans="2:27" x14ac:dyDescent="0.25">
      <c r="B768" s="1" t="s">
        <v>1208</v>
      </c>
      <c r="C768" s="1" t="s">
        <v>1205</v>
      </c>
      <c r="D768" s="1" t="s">
        <v>4</v>
      </c>
      <c r="E768" s="1" t="s">
        <v>511</v>
      </c>
      <c r="G768" s="14">
        <v>1.36</v>
      </c>
      <c r="H768" s="14" t="s">
        <v>1624</v>
      </c>
      <c r="M768" t="s">
        <v>735</v>
      </c>
      <c r="AA768" t="str">
        <f t="shared" si="33"/>
        <v>Metronidazole Tablet 400 mg</v>
      </c>
    </row>
    <row r="769" spans="2:27" x14ac:dyDescent="0.25">
      <c r="B769" s="1" t="s">
        <v>1208</v>
      </c>
      <c r="C769" s="1" t="s">
        <v>1205</v>
      </c>
      <c r="D769" s="1" t="s">
        <v>4</v>
      </c>
      <c r="E769" s="1" t="s">
        <v>1209</v>
      </c>
      <c r="M769" t="s">
        <v>735</v>
      </c>
      <c r="AA769" t="str">
        <f t="shared" si="33"/>
        <v xml:space="preserve">Metronidazole Injection 500 mg/100 mL </v>
      </c>
    </row>
    <row r="770" spans="2:27" x14ac:dyDescent="0.25">
      <c r="B770" s="1" t="s">
        <v>1208</v>
      </c>
      <c r="C770" s="1" t="s">
        <v>1205</v>
      </c>
      <c r="D770" s="1" t="s">
        <v>4</v>
      </c>
      <c r="E770" s="1" t="s">
        <v>560</v>
      </c>
      <c r="G770" s="14">
        <v>0.46</v>
      </c>
      <c r="H770" s="1" t="s">
        <v>1622</v>
      </c>
      <c r="M770" t="s">
        <v>735</v>
      </c>
      <c r="AA770" t="str">
        <f t="shared" si="33"/>
        <v>Metronidazole Oral liquid 200 mg/5 mL (p)</v>
      </c>
    </row>
    <row r="771" spans="2:27" x14ac:dyDescent="0.25">
      <c r="B771" s="1" t="s">
        <v>322</v>
      </c>
      <c r="C771" s="1" t="s">
        <v>323</v>
      </c>
      <c r="D771" s="1" t="s">
        <v>4</v>
      </c>
      <c r="E771" s="1" t="s">
        <v>305</v>
      </c>
      <c r="M771" t="s">
        <v>1630</v>
      </c>
      <c r="N771" t="s">
        <v>1633</v>
      </c>
      <c r="AA771" t="str">
        <f t="shared" si="33"/>
        <v>Midazolam Tablet 7.5 mg</v>
      </c>
    </row>
    <row r="772" spans="2:27" x14ac:dyDescent="0.25">
      <c r="B772" s="1" t="s">
        <v>322</v>
      </c>
      <c r="C772" s="1" t="s">
        <v>323</v>
      </c>
      <c r="D772" s="1" t="s">
        <v>4</v>
      </c>
      <c r="E772" s="1" t="s">
        <v>325</v>
      </c>
      <c r="G772" s="1">
        <v>71.290000000000006</v>
      </c>
      <c r="H772" s="14" t="s">
        <v>1619</v>
      </c>
      <c r="M772" t="s">
        <v>1630</v>
      </c>
      <c r="N772" t="s">
        <v>1633</v>
      </c>
      <c r="AA772" t="str">
        <f t="shared" si="33"/>
        <v>Midazolam Nasal Spray 0.5mg</v>
      </c>
    </row>
    <row r="773" spans="2:27" x14ac:dyDescent="0.25">
      <c r="B773" s="1" t="s">
        <v>322</v>
      </c>
      <c r="C773" s="1" t="s">
        <v>323</v>
      </c>
      <c r="D773" s="1" t="s">
        <v>4</v>
      </c>
      <c r="E773" s="1" t="s">
        <v>326</v>
      </c>
      <c r="G773" s="1">
        <v>193.37</v>
      </c>
      <c r="H773" s="14" t="s">
        <v>1619</v>
      </c>
      <c r="M773" t="s">
        <v>1630</v>
      </c>
      <c r="N773" t="s">
        <v>1633</v>
      </c>
      <c r="AA773" t="str">
        <f t="shared" si="33"/>
        <v>Midazolam Nasal Spray 1.25 mg</v>
      </c>
    </row>
    <row r="774" spans="2:27" x14ac:dyDescent="0.25">
      <c r="B774" s="1" t="s">
        <v>322</v>
      </c>
      <c r="C774" s="1" t="s">
        <v>323</v>
      </c>
      <c r="D774" s="1" t="s">
        <v>4</v>
      </c>
      <c r="E774" s="1" t="s">
        <v>320</v>
      </c>
      <c r="M774" t="s">
        <v>1630</v>
      </c>
      <c r="N774" t="s">
        <v>1633</v>
      </c>
      <c r="AA774" t="str">
        <f t="shared" si="33"/>
        <v>Midazolam Injection 1 mg/mL</v>
      </c>
    </row>
    <row r="775" spans="2:27" x14ac:dyDescent="0.25">
      <c r="B775" s="1" t="s">
        <v>322</v>
      </c>
      <c r="C775" s="1" t="s">
        <v>323</v>
      </c>
      <c r="D775" s="1" t="s">
        <v>4</v>
      </c>
      <c r="E775" s="1" t="s">
        <v>847</v>
      </c>
      <c r="M775" t="s">
        <v>1630</v>
      </c>
      <c r="N775" t="s">
        <v>1633</v>
      </c>
      <c r="AA775" t="str">
        <f t="shared" si="33"/>
        <v>Midazolam Injection 5 mg/mL</v>
      </c>
    </row>
    <row r="776" spans="2:27" x14ac:dyDescent="0.25">
      <c r="B776" s="1" t="s">
        <v>1210</v>
      </c>
      <c r="C776" s="1" t="s">
        <v>323</v>
      </c>
      <c r="D776" s="1" t="s">
        <v>4</v>
      </c>
      <c r="E776" s="1" t="s">
        <v>305</v>
      </c>
      <c r="M776" t="s">
        <v>651</v>
      </c>
      <c r="N776" t="s">
        <v>1642</v>
      </c>
      <c r="AA776" t="str">
        <f t="shared" si="33"/>
        <v>Midazolam Tablet 7.5 mg</v>
      </c>
    </row>
    <row r="777" spans="2:27" x14ac:dyDescent="0.25">
      <c r="B777" s="1" t="s">
        <v>1210</v>
      </c>
      <c r="C777" s="1" t="s">
        <v>323</v>
      </c>
      <c r="D777" s="1" t="s">
        <v>4</v>
      </c>
      <c r="E777" s="1" t="s">
        <v>714</v>
      </c>
      <c r="M777" t="s">
        <v>651</v>
      </c>
      <c r="N777" t="s">
        <v>1642</v>
      </c>
      <c r="AA777" t="str">
        <f t="shared" ref="AA777:AA840" si="36">C777&amp;" "&amp;E777</f>
        <v>Midazolam Tablet 15 mg</v>
      </c>
    </row>
    <row r="778" spans="2:27" x14ac:dyDescent="0.25">
      <c r="B778" s="1" t="s">
        <v>1210</v>
      </c>
      <c r="C778" s="1" t="s">
        <v>323</v>
      </c>
      <c r="D778" s="1" t="s">
        <v>4</v>
      </c>
      <c r="E778" s="1" t="s">
        <v>1211</v>
      </c>
      <c r="G778" s="1">
        <v>71.290000000000006</v>
      </c>
      <c r="H778" s="14" t="s">
        <v>1619</v>
      </c>
      <c r="M778" t="s">
        <v>651</v>
      </c>
      <c r="N778" t="s">
        <v>1642</v>
      </c>
      <c r="AA778" t="str">
        <f t="shared" si="36"/>
        <v xml:space="preserve">Midazolam Nasal Spray 0.5 mg/actuation </v>
      </c>
    </row>
    <row r="779" spans="2:27" x14ac:dyDescent="0.25">
      <c r="B779" s="1" t="s">
        <v>1210</v>
      </c>
      <c r="C779" s="1" t="s">
        <v>323</v>
      </c>
      <c r="D779" s="1" t="s">
        <v>4</v>
      </c>
      <c r="E779" s="1" t="s">
        <v>320</v>
      </c>
      <c r="M779" t="s">
        <v>651</v>
      </c>
      <c r="N779" t="s">
        <v>1642</v>
      </c>
      <c r="AA779" t="str">
        <f t="shared" si="36"/>
        <v>Midazolam Injection 1 mg/mL</v>
      </c>
    </row>
    <row r="780" spans="2:27" x14ac:dyDescent="0.25">
      <c r="B780" s="1"/>
      <c r="C780" s="1"/>
      <c r="D780" s="1"/>
      <c r="E780" s="1"/>
      <c r="J780" t="s">
        <v>530</v>
      </c>
      <c r="K780" t="str">
        <f t="shared" ref="K780:K833" si="37">C780&amp;" "&amp;E780</f>
        <v xml:space="preserve"> </v>
      </c>
      <c r="L780">
        <f t="shared" ref="L780:L833" si="38">B780</f>
        <v>0</v>
      </c>
      <c r="AA780" t="str">
        <f t="shared" si="36"/>
        <v xml:space="preserve"> </v>
      </c>
    </row>
    <row r="781" spans="2:27" x14ac:dyDescent="0.25">
      <c r="B781" s="2" t="s">
        <v>1212</v>
      </c>
      <c r="C781" s="1"/>
      <c r="D781" s="1"/>
      <c r="E781" s="1"/>
      <c r="J781" t="s">
        <v>530</v>
      </c>
      <c r="K781" t="str">
        <f t="shared" si="37"/>
        <v xml:space="preserve"> </v>
      </c>
      <c r="L781" t="str">
        <f t="shared" si="38"/>
        <v>10.6 - Hypolipidemic Medicines</v>
      </c>
      <c r="AA781" t="str">
        <f t="shared" si="36"/>
        <v xml:space="preserve"> </v>
      </c>
    </row>
    <row r="782" spans="2:27" x14ac:dyDescent="0.25">
      <c r="B782" s="1" t="s">
        <v>1210</v>
      </c>
      <c r="C782" s="1" t="s">
        <v>323</v>
      </c>
      <c r="D782" s="1" t="s">
        <v>4</v>
      </c>
      <c r="E782" s="1" t="s">
        <v>847</v>
      </c>
      <c r="M782" t="s">
        <v>651</v>
      </c>
      <c r="N782" t="s">
        <v>1642</v>
      </c>
      <c r="AA782" t="str">
        <f t="shared" si="36"/>
        <v>Midazolam Injection 5 mg/mL</v>
      </c>
    </row>
    <row r="783" spans="2:27" x14ac:dyDescent="0.25">
      <c r="B783" s="1" t="s">
        <v>1210</v>
      </c>
      <c r="C783" s="1" t="s">
        <v>323</v>
      </c>
      <c r="D783" s="1" t="s">
        <v>4</v>
      </c>
      <c r="E783" s="1" t="s">
        <v>1213</v>
      </c>
      <c r="G783" s="1">
        <v>193.37</v>
      </c>
      <c r="H783" s="14" t="s">
        <v>1619</v>
      </c>
      <c r="M783" t="s">
        <v>651</v>
      </c>
      <c r="N783" t="s">
        <v>1642</v>
      </c>
      <c r="AA783" t="str">
        <f t="shared" si="36"/>
        <v>Midazolam Nasal Spray 1.25 mg/actuation</v>
      </c>
    </row>
    <row r="784" spans="2:27" x14ac:dyDescent="0.25">
      <c r="B784" s="1" t="s">
        <v>1214</v>
      </c>
      <c r="C784" s="1" t="s">
        <v>323</v>
      </c>
      <c r="D784" s="1" t="s">
        <v>19</v>
      </c>
      <c r="E784" s="1" t="s">
        <v>320</v>
      </c>
      <c r="M784" t="s">
        <v>1668</v>
      </c>
      <c r="AA784" t="str">
        <f t="shared" si="36"/>
        <v>Midazolam Injection 1 mg/mL</v>
      </c>
    </row>
    <row r="785" spans="2:27" x14ac:dyDescent="0.25">
      <c r="B785" s="1" t="s">
        <v>1215</v>
      </c>
      <c r="C785" s="1" t="s">
        <v>1216</v>
      </c>
      <c r="D785" s="1" t="s">
        <v>4</v>
      </c>
      <c r="E785" s="1" t="s">
        <v>114</v>
      </c>
      <c r="G785" s="14">
        <v>312.95999999999998</v>
      </c>
      <c r="H785" s="1" t="s">
        <v>1622</v>
      </c>
      <c r="AA785" t="str">
        <f t="shared" si="36"/>
        <v>Mifepristone Tablet 200 mg</v>
      </c>
    </row>
    <row r="786" spans="2:27" x14ac:dyDescent="0.25">
      <c r="B786" s="1"/>
      <c r="C786" s="1"/>
      <c r="D786" s="1"/>
      <c r="E786" s="1"/>
      <c r="J786" t="s">
        <v>530</v>
      </c>
      <c r="K786" t="str">
        <f t="shared" si="37"/>
        <v xml:space="preserve"> </v>
      </c>
      <c r="L786">
        <f t="shared" si="38"/>
        <v>0</v>
      </c>
      <c r="AA786" t="str">
        <f t="shared" si="36"/>
        <v xml:space="preserve"> </v>
      </c>
    </row>
    <row r="787" spans="2:27" x14ac:dyDescent="0.25">
      <c r="B787" s="2" t="s">
        <v>1217</v>
      </c>
      <c r="C787" s="1"/>
      <c r="D787" s="1"/>
      <c r="E787" s="1"/>
      <c r="J787" t="s">
        <v>530</v>
      </c>
      <c r="K787" t="str">
        <f t="shared" si="37"/>
        <v xml:space="preserve"> </v>
      </c>
      <c r="L787" t="str">
        <f t="shared" si="38"/>
        <v>Section 11 Dermatological Medicines (Topical)</v>
      </c>
      <c r="AA787" t="str">
        <f t="shared" si="36"/>
        <v xml:space="preserve"> </v>
      </c>
    </row>
    <row r="788" spans="2:27" x14ac:dyDescent="0.25">
      <c r="B788" s="2" t="s">
        <v>1218</v>
      </c>
      <c r="C788" s="1"/>
      <c r="D788" s="1"/>
      <c r="E788" s="1"/>
      <c r="J788" t="s">
        <v>530</v>
      </c>
      <c r="K788" t="str">
        <f t="shared" si="37"/>
        <v xml:space="preserve"> </v>
      </c>
      <c r="L788" t="str">
        <f t="shared" si="38"/>
        <v>11.1 - Antifungal Medicines</v>
      </c>
      <c r="AA788" t="str">
        <f t="shared" si="36"/>
        <v xml:space="preserve"> </v>
      </c>
    </row>
    <row r="789" spans="2:27" x14ac:dyDescent="0.25">
      <c r="B789" s="1" t="s">
        <v>1219</v>
      </c>
      <c r="C789" s="1" t="s">
        <v>328</v>
      </c>
      <c r="D789" s="1" t="s">
        <v>4</v>
      </c>
      <c r="E789" s="1" t="s">
        <v>371</v>
      </c>
      <c r="AA789" t="str">
        <f t="shared" si="36"/>
        <v>Miltefosine Capsule 50 mg</v>
      </c>
    </row>
    <row r="790" spans="2:27" x14ac:dyDescent="0.25">
      <c r="B790" s="1" t="s">
        <v>1220</v>
      </c>
      <c r="C790" s="1" t="s">
        <v>1221</v>
      </c>
      <c r="D790" s="1" t="s">
        <v>4</v>
      </c>
      <c r="E790" s="1" t="s">
        <v>1222</v>
      </c>
      <c r="G790" s="10">
        <v>16.920000000000002</v>
      </c>
      <c r="H790" s="13" t="s">
        <v>1617</v>
      </c>
      <c r="I790" s="13" t="s">
        <v>1618</v>
      </c>
      <c r="AA790" t="str">
        <f t="shared" si="36"/>
        <v>Misoprostol Tablet 200 mcg</v>
      </c>
    </row>
    <row r="791" spans="2:27" x14ac:dyDescent="0.25">
      <c r="B791" s="1"/>
      <c r="C791" s="1"/>
      <c r="D791" s="1"/>
      <c r="E791" s="1"/>
      <c r="J791" t="s">
        <v>530</v>
      </c>
      <c r="K791" t="str">
        <f t="shared" si="37"/>
        <v xml:space="preserve"> </v>
      </c>
      <c r="L791">
        <f t="shared" si="38"/>
        <v>0</v>
      </c>
      <c r="AA791" t="str">
        <f t="shared" si="36"/>
        <v xml:space="preserve"> </v>
      </c>
    </row>
    <row r="792" spans="2:27" x14ac:dyDescent="0.25">
      <c r="B792" s="2" t="s">
        <v>1223</v>
      </c>
      <c r="C792" s="1"/>
      <c r="D792" s="1"/>
      <c r="E792" s="1"/>
      <c r="J792" t="s">
        <v>530</v>
      </c>
      <c r="K792" t="str">
        <f t="shared" si="37"/>
        <v xml:space="preserve"> </v>
      </c>
      <c r="L792" t="str">
        <f t="shared" si="38"/>
        <v>11.2 - Antibacterial Medicines</v>
      </c>
      <c r="AA792" t="str">
        <f t="shared" si="36"/>
        <v xml:space="preserve"> </v>
      </c>
    </row>
    <row r="793" spans="2:27" x14ac:dyDescent="0.25">
      <c r="B793" s="1" t="s">
        <v>1220</v>
      </c>
      <c r="C793" s="1" t="s">
        <v>1221</v>
      </c>
      <c r="D793" s="1" t="s">
        <v>4</v>
      </c>
      <c r="E793" s="1" t="s">
        <v>1133</v>
      </c>
      <c r="G793" s="14">
        <v>8.85</v>
      </c>
      <c r="H793" s="1" t="s">
        <v>1622</v>
      </c>
      <c r="AA793" t="str">
        <f t="shared" si="36"/>
        <v>Misoprostol Tablet 100 mcg</v>
      </c>
    </row>
    <row r="794" spans="2:27" x14ac:dyDescent="0.25">
      <c r="B794" s="1" t="s">
        <v>329</v>
      </c>
      <c r="C794" s="1" t="s">
        <v>330</v>
      </c>
      <c r="D794" s="1" t="s">
        <v>19</v>
      </c>
      <c r="E794" s="1" t="s">
        <v>331</v>
      </c>
      <c r="G794" s="1">
        <v>8.9499999999999993</v>
      </c>
      <c r="H794" s="13" t="s">
        <v>1616</v>
      </c>
      <c r="I794" s="13" t="s">
        <v>1618</v>
      </c>
      <c r="M794" t="s">
        <v>1673</v>
      </c>
      <c r="AA794" t="str">
        <f t="shared" si="36"/>
        <v>Montelukast Tablet 4 mg (including chewable tablets)</v>
      </c>
    </row>
    <row r="795" spans="2:27" x14ac:dyDescent="0.25">
      <c r="B795" s="1" t="s">
        <v>329</v>
      </c>
      <c r="C795" s="1" t="s">
        <v>330</v>
      </c>
      <c r="D795" s="1" t="s">
        <v>19</v>
      </c>
      <c r="E795" s="1" t="s">
        <v>332</v>
      </c>
      <c r="G795" s="1">
        <v>10.45</v>
      </c>
      <c r="H795" s="13" t="s">
        <v>1616</v>
      </c>
      <c r="I795" s="13" t="s">
        <v>1618</v>
      </c>
      <c r="M795" t="s">
        <v>1673</v>
      </c>
      <c r="AA795" t="str">
        <f t="shared" si="36"/>
        <v>Montelukast Tablet 5 mg (including chewable tablets)</v>
      </c>
    </row>
    <row r="796" spans="2:27" x14ac:dyDescent="0.25">
      <c r="B796" s="1"/>
      <c r="C796" s="1"/>
      <c r="D796" s="1"/>
      <c r="E796" s="1"/>
      <c r="J796" t="s">
        <v>530</v>
      </c>
      <c r="K796" t="str">
        <f t="shared" si="37"/>
        <v xml:space="preserve"> </v>
      </c>
      <c r="L796">
        <f t="shared" si="38"/>
        <v>0</v>
      </c>
      <c r="AA796" t="str">
        <f t="shared" si="36"/>
        <v xml:space="preserve"> </v>
      </c>
    </row>
    <row r="797" spans="2:27" x14ac:dyDescent="0.25">
      <c r="B797" s="2" t="s">
        <v>1224</v>
      </c>
      <c r="C797" s="1"/>
      <c r="D797" s="1"/>
      <c r="E797" s="1"/>
      <c r="J797" t="s">
        <v>530</v>
      </c>
      <c r="K797" t="str">
        <f t="shared" si="37"/>
        <v xml:space="preserve"> </v>
      </c>
      <c r="L797" t="str">
        <f t="shared" si="38"/>
        <v>11.3-Antiinflammatory and Antipruritic Medicines</v>
      </c>
      <c r="AA797" t="str">
        <f t="shared" si="36"/>
        <v xml:space="preserve"> </v>
      </c>
    </row>
    <row r="798" spans="2:27" x14ac:dyDescent="0.25">
      <c r="B798" s="1" t="s">
        <v>329</v>
      </c>
      <c r="C798" s="1" t="s">
        <v>330</v>
      </c>
      <c r="D798" s="1" t="s">
        <v>19</v>
      </c>
      <c r="E798" s="1" t="s">
        <v>220</v>
      </c>
      <c r="G798" s="1">
        <v>14.66</v>
      </c>
      <c r="H798" s="13" t="s">
        <v>1616</v>
      </c>
      <c r="I798" s="13" t="s">
        <v>1618</v>
      </c>
      <c r="AA798" t="str">
        <f t="shared" si="36"/>
        <v>Montelukast Tablet 10 mg</v>
      </c>
    </row>
    <row r="799" spans="2:27" x14ac:dyDescent="0.25">
      <c r="B799" s="1" t="s">
        <v>1225</v>
      </c>
      <c r="C799" s="1" t="s">
        <v>334</v>
      </c>
      <c r="D799" s="1" t="s">
        <v>4</v>
      </c>
      <c r="E799" s="1" t="s">
        <v>643</v>
      </c>
      <c r="M799" t="s">
        <v>1630</v>
      </c>
      <c r="N799" t="s">
        <v>1633</v>
      </c>
      <c r="AA799" t="str">
        <f t="shared" si="36"/>
        <v>Morphine Injection 10 mg/mL</v>
      </c>
    </row>
    <row r="800" spans="2:27" x14ac:dyDescent="0.25">
      <c r="B800" s="1" t="s">
        <v>1225</v>
      </c>
      <c r="C800" s="1" t="s">
        <v>334</v>
      </c>
      <c r="D800" s="1" t="s">
        <v>4</v>
      </c>
      <c r="E800" s="1" t="s">
        <v>1226</v>
      </c>
      <c r="M800" t="s">
        <v>1630</v>
      </c>
      <c r="N800" t="s">
        <v>1633</v>
      </c>
      <c r="AA800" t="str">
        <f t="shared" si="36"/>
        <v>Morphine Injection 15 mg/mL</v>
      </c>
    </row>
    <row r="801" spans="2:27" x14ac:dyDescent="0.25">
      <c r="B801" s="1"/>
      <c r="C801" s="1"/>
      <c r="D801" s="1"/>
      <c r="E801" s="1"/>
      <c r="J801" t="s">
        <v>530</v>
      </c>
      <c r="K801" t="str">
        <f t="shared" si="37"/>
        <v xml:space="preserve"> </v>
      </c>
      <c r="L801">
        <f t="shared" si="38"/>
        <v>0</v>
      </c>
      <c r="AA801" t="str">
        <f t="shared" si="36"/>
        <v xml:space="preserve"> </v>
      </c>
    </row>
    <row r="802" spans="2:27" x14ac:dyDescent="0.25">
      <c r="B802" s="2" t="s">
        <v>1227</v>
      </c>
      <c r="C802" s="1"/>
      <c r="D802" s="1"/>
      <c r="E802" s="1"/>
      <c r="J802" t="s">
        <v>530</v>
      </c>
      <c r="K802" t="str">
        <f t="shared" si="37"/>
        <v xml:space="preserve"> </v>
      </c>
      <c r="L802" t="str">
        <f t="shared" si="38"/>
        <v>11.4 - Keratolytic agents</v>
      </c>
      <c r="AA802" t="str">
        <f t="shared" si="36"/>
        <v xml:space="preserve"> </v>
      </c>
    </row>
    <row r="803" spans="2:27" x14ac:dyDescent="0.25">
      <c r="B803" s="1" t="s">
        <v>1228</v>
      </c>
      <c r="C803" s="1" t="s">
        <v>334</v>
      </c>
      <c r="D803" s="1" t="s">
        <v>4</v>
      </c>
      <c r="E803" s="1" t="s">
        <v>643</v>
      </c>
      <c r="M803" t="s">
        <v>1635</v>
      </c>
      <c r="N803" t="s">
        <v>1637</v>
      </c>
      <c r="AA803" t="str">
        <f t="shared" si="36"/>
        <v>Morphine Injection 10 mg/mL</v>
      </c>
    </row>
    <row r="804" spans="2:27" x14ac:dyDescent="0.25">
      <c r="B804" s="1" t="s">
        <v>1228</v>
      </c>
      <c r="C804" s="1" t="s">
        <v>334</v>
      </c>
      <c r="D804" s="1" t="s">
        <v>4</v>
      </c>
      <c r="E804" s="1" t="s">
        <v>1226</v>
      </c>
      <c r="M804" t="s">
        <v>1635</v>
      </c>
      <c r="N804" t="s">
        <v>1637</v>
      </c>
      <c r="AA804" t="str">
        <f t="shared" si="36"/>
        <v>Morphine Injection 15 mg/mL</v>
      </c>
    </row>
    <row r="805" spans="2:27" x14ac:dyDescent="0.25">
      <c r="B805" s="1" t="s">
        <v>1228</v>
      </c>
      <c r="C805" s="1" t="s">
        <v>334</v>
      </c>
      <c r="D805" s="1" t="s">
        <v>4</v>
      </c>
      <c r="E805" s="1" t="s">
        <v>220</v>
      </c>
      <c r="M805" t="s">
        <v>1635</v>
      </c>
      <c r="N805" t="s">
        <v>1637</v>
      </c>
      <c r="AA805" t="str">
        <f t="shared" si="36"/>
        <v>Morphine Tablet 10 mg</v>
      </c>
    </row>
    <row r="806" spans="2:27" x14ac:dyDescent="0.25">
      <c r="B806" s="1" t="s">
        <v>1229</v>
      </c>
      <c r="C806" s="1" t="s">
        <v>334</v>
      </c>
      <c r="D806" s="1" t="s">
        <v>19</v>
      </c>
      <c r="E806" s="1" t="s">
        <v>1230</v>
      </c>
      <c r="M806" t="s">
        <v>1668</v>
      </c>
      <c r="AA806" t="str">
        <f t="shared" si="36"/>
        <v>Morphine Modified Release Tablet 30 mg</v>
      </c>
    </row>
    <row r="807" spans="2:27" x14ac:dyDescent="0.25">
      <c r="B807" s="1"/>
      <c r="C807" s="1"/>
      <c r="D807" s="1"/>
      <c r="E807" s="1"/>
      <c r="J807" t="s">
        <v>530</v>
      </c>
      <c r="K807" t="str">
        <f t="shared" si="37"/>
        <v xml:space="preserve"> </v>
      </c>
      <c r="L807">
        <f t="shared" si="38"/>
        <v>0</v>
      </c>
      <c r="AA807" t="str">
        <f t="shared" si="36"/>
        <v xml:space="preserve"> </v>
      </c>
    </row>
    <row r="808" spans="2:27" x14ac:dyDescent="0.25">
      <c r="B808" s="2" t="s">
        <v>1231</v>
      </c>
      <c r="C808" s="1"/>
      <c r="D808" s="1"/>
      <c r="E808" s="1"/>
      <c r="J808" t="s">
        <v>530</v>
      </c>
      <c r="K808" t="str">
        <f t="shared" si="37"/>
        <v xml:space="preserve"> </v>
      </c>
      <c r="L808" t="str">
        <f t="shared" si="38"/>
        <v>11.5 - Scabicides and Pediculicides</v>
      </c>
      <c r="AA808" t="str">
        <f t="shared" si="36"/>
        <v xml:space="preserve"> </v>
      </c>
    </row>
    <row r="809" spans="2:27" x14ac:dyDescent="0.25">
      <c r="B809" s="1" t="s">
        <v>1229</v>
      </c>
      <c r="C809" s="1" t="s">
        <v>334</v>
      </c>
      <c r="D809" s="1" t="s">
        <v>19</v>
      </c>
      <c r="E809" s="1" t="s">
        <v>220</v>
      </c>
      <c r="AA809" t="str">
        <f t="shared" si="36"/>
        <v>Morphine Tablet 10 mg</v>
      </c>
    </row>
    <row r="810" spans="2:27" x14ac:dyDescent="0.25">
      <c r="B810" s="1" t="s">
        <v>1232</v>
      </c>
      <c r="C810" s="1" t="s">
        <v>336</v>
      </c>
      <c r="D810" s="1" t="s">
        <v>4</v>
      </c>
      <c r="E810" s="1" t="s">
        <v>511</v>
      </c>
      <c r="G810" s="10">
        <v>22.79</v>
      </c>
      <c r="H810" s="13" t="s">
        <v>1617</v>
      </c>
      <c r="I810" s="13" t="s">
        <v>1618</v>
      </c>
      <c r="M810" t="s">
        <v>735</v>
      </c>
      <c r="N810" t="s">
        <v>1655</v>
      </c>
      <c r="AA810" t="str">
        <f t="shared" si="36"/>
        <v>Moxifloxacin Tablet 400 mg</v>
      </c>
    </row>
    <row r="811" spans="2:27" x14ac:dyDescent="0.25">
      <c r="B811" s="1"/>
      <c r="C811" s="1"/>
      <c r="D811" s="1"/>
      <c r="E811" s="1"/>
      <c r="J811" t="s">
        <v>530</v>
      </c>
      <c r="K811" t="str">
        <f t="shared" si="37"/>
        <v xml:space="preserve"> </v>
      </c>
      <c r="L811">
        <f t="shared" si="38"/>
        <v>0</v>
      </c>
      <c r="AA811" t="str">
        <f t="shared" si="36"/>
        <v xml:space="preserve"> </v>
      </c>
    </row>
    <row r="812" spans="2:27" x14ac:dyDescent="0.25">
      <c r="B812" s="2" t="s">
        <v>1233</v>
      </c>
      <c r="C812" s="1"/>
      <c r="D812" s="1"/>
      <c r="E812" s="1"/>
      <c r="J812" t="s">
        <v>530</v>
      </c>
      <c r="K812" t="str">
        <f t="shared" si="37"/>
        <v xml:space="preserve"> </v>
      </c>
      <c r="L812" t="str">
        <f t="shared" si="38"/>
        <v>11.6    Miscellaneous</v>
      </c>
      <c r="AA812" t="str">
        <f t="shared" si="36"/>
        <v xml:space="preserve"> </v>
      </c>
    </row>
    <row r="813" spans="2:27" x14ac:dyDescent="0.25">
      <c r="B813" s="1" t="s">
        <v>337</v>
      </c>
      <c r="C813" s="1" t="s">
        <v>338</v>
      </c>
      <c r="D813" s="1" t="s">
        <v>4</v>
      </c>
      <c r="E813" s="1" t="s">
        <v>339</v>
      </c>
      <c r="M813" t="s">
        <v>735</v>
      </c>
      <c r="N813" t="s">
        <v>1656</v>
      </c>
      <c r="AA813" t="str">
        <f t="shared" si="36"/>
        <v>Mupirocin Ointment 2%</v>
      </c>
    </row>
    <row r="814" spans="2:27" x14ac:dyDescent="0.25">
      <c r="B814" s="1"/>
      <c r="C814" s="1"/>
      <c r="D814" s="1"/>
      <c r="E814" s="1"/>
      <c r="J814" t="s">
        <v>530</v>
      </c>
      <c r="K814" t="str">
        <f t="shared" si="37"/>
        <v xml:space="preserve"> </v>
      </c>
      <c r="L814">
        <f t="shared" si="38"/>
        <v>0</v>
      </c>
      <c r="AA814" t="str">
        <f t="shared" si="36"/>
        <v xml:space="preserve"> </v>
      </c>
    </row>
    <row r="815" spans="2:27" x14ac:dyDescent="0.25">
      <c r="B815" s="2" t="s">
        <v>1234</v>
      </c>
      <c r="C815" s="1"/>
      <c r="D815" s="1"/>
      <c r="E815" s="1"/>
      <c r="J815" t="s">
        <v>530</v>
      </c>
      <c r="K815" t="str">
        <f t="shared" si="37"/>
        <v xml:space="preserve"> </v>
      </c>
      <c r="L815" t="str">
        <f t="shared" si="38"/>
        <v>Section 12 Diagnostic agents</v>
      </c>
      <c r="AA815" t="str">
        <f t="shared" si="36"/>
        <v xml:space="preserve"> </v>
      </c>
    </row>
    <row r="816" spans="2:27" x14ac:dyDescent="0.25">
      <c r="B816" s="2" t="s">
        <v>1235</v>
      </c>
      <c r="C816" s="1"/>
      <c r="D816" s="1"/>
      <c r="E816" s="1"/>
      <c r="J816" t="s">
        <v>530</v>
      </c>
      <c r="K816" t="str">
        <f t="shared" si="37"/>
        <v xml:space="preserve"> </v>
      </c>
      <c r="L816" t="str">
        <f t="shared" si="38"/>
        <v>12.1 - Ophthalmic Medicines</v>
      </c>
      <c r="AA816" t="str">
        <f t="shared" si="36"/>
        <v xml:space="preserve"> </v>
      </c>
    </row>
    <row r="817" spans="2:27" x14ac:dyDescent="0.25">
      <c r="B817" s="1" t="s">
        <v>496</v>
      </c>
      <c r="C817" s="1" t="s">
        <v>495</v>
      </c>
      <c r="D817" s="1" t="s">
        <v>8</v>
      </c>
      <c r="E817" s="1" t="s">
        <v>85</v>
      </c>
      <c r="G817" s="10">
        <v>65.89</v>
      </c>
      <c r="H817" s="13" t="s">
        <v>1617</v>
      </c>
      <c r="I817" s="13" t="s">
        <v>1618</v>
      </c>
      <c r="M817" t="s">
        <v>1668</v>
      </c>
      <c r="AA817" t="str">
        <f t="shared" si="36"/>
        <v>Mycophenolate mofetil Tablet 500 mg</v>
      </c>
    </row>
    <row r="818" spans="2:27" x14ac:dyDescent="0.25">
      <c r="B818" s="1" t="s">
        <v>496</v>
      </c>
      <c r="C818" s="1" t="s">
        <v>495</v>
      </c>
      <c r="D818" s="1" t="s">
        <v>8</v>
      </c>
      <c r="E818" s="1" t="s">
        <v>309</v>
      </c>
      <c r="G818" s="14">
        <v>44.24</v>
      </c>
      <c r="H818" s="14" t="s">
        <v>1626</v>
      </c>
      <c r="M818" t="s">
        <v>1668</v>
      </c>
      <c r="AA818" t="str">
        <f t="shared" si="36"/>
        <v>Mycophenolate mofetil Tablet 250 mg</v>
      </c>
    </row>
    <row r="819" spans="2:27" x14ac:dyDescent="0.25">
      <c r="B819" s="1" t="s">
        <v>1236</v>
      </c>
      <c r="C819" s="1" t="s">
        <v>1237</v>
      </c>
      <c r="D819" s="1" t="s">
        <v>4</v>
      </c>
      <c r="E819" s="1" t="s">
        <v>1238</v>
      </c>
      <c r="G819" s="14">
        <v>21.08</v>
      </c>
      <c r="H819" s="1" t="s">
        <v>1622</v>
      </c>
      <c r="M819" t="s">
        <v>631</v>
      </c>
      <c r="N819" t="s">
        <v>1641</v>
      </c>
      <c r="AA819" t="str">
        <f t="shared" si="36"/>
        <v>N-acetylcysteine Injection 200 mg/mL</v>
      </c>
    </row>
    <row r="820" spans="2:27" x14ac:dyDescent="0.25">
      <c r="B820" s="1"/>
      <c r="C820" s="1"/>
      <c r="D820" s="1"/>
      <c r="E820" s="1"/>
      <c r="J820" t="s">
        <v>530</v>
      </c>
      <c r="K820" t="str">
        <f t="shared" si="37"/>
        <v xml:space="preserve"> </v>
      </c>
      <c r="L820">
        <f t="shared" si="38"/>
        <v>0</v>
      </c>
      <c r="AA820" t="str">
        <f t="shared" si="36"/>
        <v xml:space="preserve"> </v>
      </c>
    </row>
    <row r="821" spans="2:27" x14ac:dyDescent="0.25">
      <c r="B821" s="2" t="s">
        <v>1239</v>
      </c>
      <c r="C821" s="1"/>
      <c r="D821" s="1"/>
      <c r="E821" s="1"/>
      <c r="J821" t="s">
        <v>530</v>
      </c>
      <c r="K821" t="str">
        <f t="shared" si="37"/>
        <v xml:space="preserve"> </v>
      </c>
      <c r="L821" t="str">
        <f t="shared" si="38"/>
        <v>12.2 - Radiocontrast Media</v>
      </c>
      <c r="AA821" t="str">
        <f t="shared" si="36"/>
        <v xml:space="preserve"> </v>
      </c>
    </row>
    <row r="822" spans="2:27" x14ac:dyDescent="0.25">
      <c r="B822" s="1" t="s">
        <v>1236</v>
      </c>
      <c r="C822" s="1" t="s">
        <v>1237</v>
      </c>
      <c r="D822" s="1" t="s">
        <v>4</v>
      </c>
      <c r="E822" s="1" t="s">
        <v>1240</v>
      </c>
      <c r="M822" t="s">
        <v>631</v>
      </c>
      <c r="N822" t="s">
        <v>1641</v>
      </c>
      <c r="AA822" t="str">
        <f t="shared" si="36"/>
        <v>N-acetylcysteine Sachet 200 mg</v>
      </c>
    </row>
    <row r="823" spans="2:27" x14ac:dyDescent="0.25">
      <c r="B823" s="1" t="s">
        <v>1241</v>
      </c>
      <c r="C823" s="1" t="s">
        <v>1242</v>
      </c>
      <c r="D823" s="1" t="s">
        <v>4</v>
      </c>
      <c r="E823" s="1" t="s">
        <v>1243</v>
      </c>
      <c r="G823" s="14">
        <v>82.7</v>
      </c>
      <c r="H823" s="1" t="s">
        <v>1622</v>
      </c>
      <c r="M823" t="s">
        <v>631</v>
      </c>
      <c r="N823" t="s">
        <v>1641</v>
      </c>
      <c r="AA823" t="str">
        <f t="shared" si="36"/>
        <v>Naloxone Injection 0.4 mg/mL</v>
      </c>
    </row>
    <row r="824" spans="2:27" x14ac:dyDescent="0.25">
      <c r="B824" s="1" t="s">
        <v>1244</v>
      </c>
      <c r="C824" s="1" t="s">
        <v>1245</v>
      </c>
      <c r="D824" s="1" t="s">
        <v>4</v>
      </c>
      <c r="E824" s="1" t="s">
        <v>1246</v>
      </c>
      <c r="G824" s="14">
        <v>20.85</v>
      </c>
      <c r="H824" s="14" t="s">
        <v>1626</v>
      </c>
      <c r="AA824" t="str">
        <f t="shared" si="36"/>
        <v>Natamycin Drops 5 %</v>
      </c>
    </row>
    <row r="825" spans="2:27" x14ac:dyDescent="0.25">
      <c r="B825" s="1" t="s">
        <v>1247</v>
      </c>
      <c r="C825" s="1" t="s">
        <v>1248</v>
      </c>
      <c r="D825" s="1" t="s">
        <v>19</v>
      </c>
      <c r="E825" s="1" t="s">
        <v>571</v>
      </c>
      <c r="G825" s="14">
        <v>4.47</v>
      </c>
      <c r="H825" s="1" t="s">
        <v>1622</v>
      </c>
      <c r="M825" t="s">
        <v>1630</v>
      </c>
      <c r="N825" t="s">
        <v>1634</v>
      </c>
      <c r="AA825" t="str">
        <f t="shared" si="36"/>
        <v>Neostigmine Injection 0.5 mg/mL</v>
      </c>
    </row>
    <row r="826" spans="2:27" x14ac:dyDescent="0.25">
      <c r="B826" s="1" t="s">
        <v>1247</v>
      </c>
      <c r="C826" s="1" t="s">
        <v>1248</v>
      </c>
      <c r="D826" s="1" t="s">
        <v>19</v>
      </c>
      <c r="E826" s="1" t="s">
        <v>714</v>
      </c>
      <c r="M826" t="s">
        <v>1630</v>
      </c>
      <c r="N826" t="s">
        <v>1634</v>
      </c>
      <c r="AA826" t="str">
        <f t="shared" si="36"/>
        <v>Neostigmine Tablet 15 mg</v>
      </c>
    </row>
    <row r="827" spans="2:27" x14ac:dyDescent="0.25">
      <c r="B827" s="1"/>
      <c r="C827" s="1"/>
      <c r="D827" s="1"/>
      <c r="E827" s="1"/>
      <c r="J827" t="s">
        <v>530</v>
      </c>
      <c r="K827" t="str">
        <f t="shared" si="37"/>
        <v xml:space="preserve"> </v>
      </c>
      <c r="L827">
        <f t="shared" si="38"/>
        <v>0</v>
      </c>
      <c r="AA827" t="str">
        <f t="shared" si="36"/>
        <v xml:space="preserve"> </v>
      </c>
    </row>
    <row r="828" spans="2:27" x14ac:dyDescent="0.25">
      <c r="B828" s="2" t="s">
        <v>1249</v>
      </c>
      <c r="C828" s="1"/>
      <c r="D828" s="1"/>
      <c r="E828" s="1"/>
      <c r="J828" t="s">
        <v>530</v>
      </c>
      <c r="K828" t="str">
        <f t="shared" si="37"/>
        <v xml:space="preserve"> </v>
      </c>
      <c r="L828" t="str">
        <f t="shared" si="38"/>
        <v>Section 13 Dialysis components (Haemodialysis and Peritoneal Dialysis)</v>
      </c>
      <c r="AA828" t="str">
        <f t="shared" si="36"/>
        <v xml:space="preserve"> </v>
      </c>
    </row>
    <row r="829" spans="2:27" x14ac:dyDescent="0.25">
      <c r="B829" s="1" t="s">
        <v>1250</v>
      </c>
      <c r="C829" s="1" t="s">
        <v>1248</v>
      </c>
      <c r="D829" s="1" t="s">
        <v>4</v>
      </c>
      <c r="E829" s="1" t="s">
        <v>571</v>
      </c>
      <c r="G829" s="14">
        <v>4.47</v>
      </c>
      <c r="H829" s="1" t="s">
        <v>1622</v>
      </c>
      <c r="M829" t="s">
        <v>631</v>
      </c>
      <c r="N829" t="s">
        <v>1641</v>
      </c>
      <c r="AA829" t="str">
        <f t="shared" si="36"/>
        <v>Neostigmine Injection 0.5 mg/mL</v>
      </c>
    </row>
    <row r="830" spans="2:27" x14ac:dyDescent="0.25">
      <c r="B830" s="1" t="s">
        <v>1251</v>
      </c>
      <c r="C830" s="1" t="s">
        <v>1252</v>
      </c>
      <c r="D830" s="1" t="s">
        <v>4</v>
      </c>
      <c r="E830" s="1" t="s">
        <v>114</v>
      </c>
      <c r="G830" s="10">
        <v>14.09</v>
      </c>
      <c r="H830" s="13" t="s">
        <v>1617</v>
      </c>
      <c r="I830" s="13" t="s">
        <v>1618</v>
      </c>
      <c r="M830" t="s">
        <v>735</v>
      </c>
      <c r="N830" t="s">
        <v>1658</v>
      </c>
      <c r="O830" t="s">
        <v>1660</v>
      </c>
      <c r="AA830" t="str">
        <f t="shared" si="36"/>
        <v>Nevirapine Tablet 200 mg</v>
      </c>
    </row>
    <row r="831" spans="2:27" x14ac:dyDescent="0.25">
      <c r="B831" s="1"/>
      <c r="C831" s="1"/>
      <c r="D831" s="1"/>
      <c r="E831" s="1"/>
      <c r="J831" t="s">
        <v>530</v>
      </c>
      <c r="K831" t="str">
        <f t="shared" si="37"/>
        <v xml:space="preserve"> </v>
      </c>
      <c r="L831">
        <f t="shared" si="38"/>
        <v>0</v>
      </c>
      <c r="AA831" t="str">
        <f t="shared" si="36"/>
        <v xml:space="preserve"> </v>
      </c>
    </row>
    <row r="832" spans="2:27" x14ac:dyDescent="0.25">
      <c r="B832" s="2" t="s">
        <v>1253</v>
      </c>
      <c r="C832" s="1"/>
      <c r="D832" s="1"/>
      <c r="E832" s="1"/>
      <c r="J832" t="s">
        <v>530</v>
      </c>
      <c r="K832" t="str">
        <f t="shared" si="37"/>
        <v xml:space="preserve"> </v>
      </c>
      <c r="L832" t="str">
        <f t="shared" si="38"/>
        <v>Section 14 Antiseptics and Disinfectants</v>
      </c>
      <c r="AA832" t="str">
        <f t="shared" si="36"/>
        <v xml:space="preserve"> </v>
      </c>
    </row>
    <row r="833" spans="2:27" x14ac:dyDescent="0.25">
      <c r="B833" s="2" t="s">
        <v>1254</v>
      </c>
      <c r="C833" s="1"/>
      <c r="D833" s="1"/>
      <c r="E833" s="1"/>
      <c r="J833" t="s">
        <v>530</v>
      </c>
      <c r="K833" t="str">
        <f t="shared" si="37"/>
        <v xml:space="preserve"> </v>
      </c>
      <c r="L833" t="str">
        <f t="shared" si="38"/>
        <v>14.1    Antiseptics</v>
      </c>
      <c r="AA833" t="str">
        <f t="shared" si="36"/>
        <v xml:space="preserve"> </v>
      </c>
    </row>
    <row r="834" spans="2:27" x14ac:dyDescent="0.25">
      <c r="B834" s="1" t="s">
        <v>1251</v>
      </c>
      <c r="C834" s="1" t="s">
        <v>1252</v>
      </c>
      <c r="D834" s="1" t="s">
        <v>4</v>
      </c>
      <c r="E834" s="1" t="s">
        <v>1255</v>
      </c>
      <c r="M834" t="s">
        <v>735</v>
      </c>
      <c r="N834" t="s">
        <v>1658</v>
      </c>
      <c r="O834" t="s">
        <v>1660</v>
      </c>
      <c r="AA834" t="str">
        <f t="shared" si="36"/>
        <v>Nevirapine Dispersible Tablet 50 mg (p)</v>
      </c>
    </row>
    <row r="835" spans="2:27" x14ac:dyDescent="0.25">
      <c r="B835" s="1" t="s">
        <v>1251</v>
      </c>
      <c r="C835" s="1" t="s">
        <v>1252</v>
      </c>
      <c r="D835" s="1" t="s">
        <v>4</v>
      </c>
      <c r="E835" s="1" t="s">
        <v>956</v>
      </c>
      <c r="M835" t="s">
        <v>735</v>
      </c>
      <c r="N835" t="s">
        <v>1658</v>
      </c>
      <c r="O835" t="s">
        <v>1660</v>
      </c>
      <c r="AA835" t="str">
        <f t="shared" si="36"/>
        <v>Nevirapine Oral liquid 50 mg/ 5 mL (p)</v>
      </c>
    </row>
    <row r="836" spans="2:27" x14ac:dyDescent="0.25">
      <c r="B836" s="1" t="s">
        <v>340</v>
      </c>
      <c r="C836" s="1" t="s">
        <v>341</v>
      </c>
      <c r="D836" s="1" t="s">
        <v>4</v>
      </c>
      <c r="E836" s="1" t="s">
        <v>342</v>
      </c>
      <c r="M836" t="s">
        <v>1669</v>
      </c>
      <c r="AA836" t="str">
        <f t="shared" si="36"/>
        <v>Nicotine (for nicotine
replacement therapy) Oral Dosage forms 4 mg</v>
      </c>
    </row>
    <row r="837" spans="2:27" x14ac:dyDescent="0.25">
      <c r="B837" s="1" t="s">
        <v>340</v>
      </c>
      <c r="C837" s="1" t="s">
        <v>341</v>
      </c>
      <c r="D837" s="1" t="s">
        <v>4</v>
      </c>
      <c r="E837" s="1" t="s">
        <v>343</v>
      </c>
      <c r="M837" t="s">
        <v>1669</v>
      </c>
      <c r="AA837" t="str">
        <f t="shared" si="36"/>
        <v xml:space="preserve">Nicotine (for nicotine
replacement therapy) Oral Dosage forms 2 mg </v>
      </c>
    </row>
    <row r="838" spans="2:27" x14ac:dyDescent="0.25">
      <c r="B838" s="1" t="s">
        <v>1256</v>
      </c>
      <c r="C838" s="1" t="s">
        <v>1257</v>
      </c>
      <c r="D838" s="1" t="s">
        <v>19</v>
      </c>
      <c r="E838" s="1" t="s">
        <v>220</v>
      </c>
      <c r="AA838" t="str">
        <f t="shared" si="36"/>
        <v>Nifedipine Tablet 10 mg</v>
      </c>
    </row>
    <row r="839" spans="2:27" x14ac:dyDescent="0.25">
      <c r="B839" s="1" t="s">
        <v>1258</v>
      </c>
      <c r="C839" s="1" t="s">
        <v>1259</v>
      </c>
      <c r="D839" s="1" t="s">
        <v>4</v>
      </c>
      <c r="E839" s="1" t="s">
        <v>1260</v>
      </c>
      <c r="M839" t="s">
        <v>735</v>
      </c>
      <c r="N839" t="s">
        <v>1651</v>
      </c>
      <c r="O839" t="s">
        <v>1652</v>
      </c>
      <c r="AA839" t="str">
        <f t="shared" si="36"/>
        <v>Nitrofurantoin Oral liquid 25 mg/5 mL (p)</v>
      </c>
    </row>
    <row r="840" spans="2:27" x14ac:dyDescent="0.25">
      <c r="B840" s="1" t="s">
        <v>1258</v>
      </c>
      <c r="C840" s="1" t="s">
        <v>1259</v>
      </c>
      <c r="D840" s="1" t="s">
        <v>4</v>
      </c>
      <c r="E840" s="1" t="s">
        <v>29</v>
      </c>
      <c r="G840" s="14">
        <v>7.23</v>
      </c>
      <c r="H840" s="14" t="s">
        <v>1624</v>
      </c>
      <c r="M840" t="s">
        <v>735</v>
      </c>
      <c r="N840" t="s">
        <v>1651</v>
      </c>
      <c r="O840" t="s">
        <v>1652</v>
      </c>
      <c r="AA840" t="str">
        <f t="shared" si="36"/>
        <v>Nitrofurantoin Tablet 100 mg</v>
      </c>
    </row>
    <row r="841" spans="2:27" x14ac:dyDescent="0.25">
      <c r="B841" s="1" t="s">
        <v>1261</v>
      </c>
      <c r="C841" s="1" t="s">
        <v>1262</v>
      </c>
      <c r="D841" s="1" t="s">
        <v>4</v>
      </c>
      <c r="E841" s="1" t="s">
        <v>1263</v>
      </c>
      <c r="M841" t="s">
        <v>1630</v>
      </c>
      <c r="N841" t="s">
        <v>1631</v>
      </c>
      <c r="AA841" t="str">
        <f t="shared" ref="AA841:AA904" si="39">C841&amp;" "&amp;E841</f>
        <v>Nitrous oxide As licensed for medical purpose</v>
      </c>
    </row>
    <row r="842" spans="2:27" x14ac:dyDescent="0.25">
      <c r="B842" s="1"/>
      <c r="C842" s="1"/>
      <c r="D842" s="1"/>
      <c r="E842" s="1"/>
      <c r="J842" t="s">
        <v>530</v>
      </c>
      <c r="K842" t="str">
        <f t="shared" ref="K842:K904" si="40">C842&amp;" "&amp;E842</f>
        <v xml:space="preserve"> </v>
      </c>
      <c r="L842">
        <f t="shared" ref="L842:L904" si="41">B842</f>
        <v>0</v>
      </c>
      <c r="AA842" t="str">
        <f t="shared" si="39"/>
        <v xml:space="preserve"> </v>
      </c>
    </row>
    <row r="843" spans="2:27" x14ac:dyDescent="0.25">
      <c r="B843" s="2" t="s">
        <v>1264</v>
      </c>
      <c r="C843" s="1"/>
      <c r="D843" s="1"/>
      <c r="E843" s="1"/>
      <c r="J843" t="s">
        <v>530</v>
      </c>
      <c r="K843" t="str">
        <f t="shared" si="40"/>
        <v xml:space="preserve"> </v>
      </c>
      <c r="L843" t="str">
        <f t="shared" si="41"/>
        <v>14.2    Disinfectants</v>
      </c>
      <c r="AA843" t="str">
        <f t="shared" si="39"/>
        <v xml:space="preserve"> </v>
      </c>
    </row>
    <row r="844" spans="2:27" x14ac:dyDescent="0.25">
      <c r="B844" s="1" t="s">
        <v>1265</v>
      </c>
      <c r="C844" s="1" t="s">
        <v>1266</v>
      </c>
      <c r="D844" s="1" t="s">
        <v>19</v>
      </c>
      <c r="E844" s="1" t="s">
        <v>898</v>
      </c>
      <c r="M844" t="s">
        <v>1667</v>
      </c>
      <c r="AA844" t="str">
        <f t="shared" si="39"/>
        <v>Noradrenaline Injection 2 mg/mL</v>
      </c>
    </row>
    <row r="845" spans="2:27" x14ac:dyDescent="0.25">
      <c r="B845" s="1" t="s">
        <v>1267</v>
      </c>
      <c r="C845" s="1" t="s">
        <v>1268</v>
      </c>
      <c r="D845" s="1" t="s">
        <v>4</v>
      </c>
      <c r="E845" s="1" t="s">
        <v>381</v>
      </c>
      <c r="G845" s="14">
        <v>4.8099999999999996</v>
      </c>
      <c r="H845" s="14" t="s">
        <v>1624</v>
      </c>
      <c r="M845" t="s">
        <v>1675</v>
      </c>
      <c r="AA845" t="str">
        <f t="shared" si="39"/>
        <v>Norethisterone Tablet 5 mg</v>
      </c>
    </row>
    <row r="846" spans="2:27" x14ac:dyDescent="0.25">
      <c r="B846" s="1"/>
      <c r="C846" s="1"/>
      <c r="D846" s="1"/>
      <c r="E846" s="1"/>
      <c r="J846" t="s">
        <v>530</v>
      </c>
      <c r="K846" t="str">
        <f t="shared" si="40"/>
        <v xml:space="preserve"> </v>
      </c>
      <c r="L846">
        <f t="shared" si="41"/>
        <v>0</v>
      </c>
      <c r="AA846" t="str">
        <f t="shared" si="39"/>
        <v xml:space="preserve"> </v>
      </c>
    </row>
    <row r="847" spans="2:27" x14ac:dyDescent="0.25">
      <c r="B847" s="2" t="s">
        <v>1269</v>
      </c>
      <c r="C847" s="1"/>
      <c r="D847" s="1"/>
      <c r="E847" s="1"/>
      <c r="J847" t="s">
        <v>530</v>
      </c>
      <c r="K847" t="str">
        <f t="shared" si="40"/>
        <v xml:space="preserve"> </v>
      </c>
      <c r="L847" t="str">
        <f t="shared" si="41"/>
        <v>Section 15 Diuretics</v>
      </c>
      <c r="AA847" t="str">
        <f t="shared" si="39"/>
        <v xml:space="preserve"> </v>
      </c>
    </row>
    <row r="848" spans="2:27" x14ac:dyDescent="0.25">
      <c r="B848" s="1" t="s">
        <v>1270</v>
      </c>
      <c r="C848" s="1" t="s">
        <v>346</v>
      </c>
      <c r="D848" s="1" t="s">
        <v>19</v>
      </c>
      <c r="E848" s="1" t="s">
        <v>1271</v>
      </c>
      <c r="M848" t="s">
        <v>735</v>
      </c>
      <c r="N848" t="s">
        <v>1656</v>
      </c>
      <c r="AA848" t="str">
        <f t="shared" si="39"/>
        <v>Nystatin Oral Liquid 1 Lac IU/mL (p)</v>
      </c>
    </row>
    <row r="849" spans="2:27" x14ac:dyDescent="0.25">
      <c r="B849" s="1" t="s">
        <v>1270</v>
      </c>
      <c r="C849" s="1" t="s">
        <v>346</v>
      </c>
      <c r="D849" s="1" t="s">
        <v>19</v>
      </c>
      <c r="E849" s="1" t="s">
        <v>1272</v>
      </c>
      <c r="M849" t="s">
        <v>735</v>
      </c>
      <c r="N849" t="s">
        <v>1656</v>
      </c>
      <c r="AA849" t="str">
        <f t="shared" si="39"/>
        <v>Nystatin Pessary 1 Lac IU</v>
      </c>
    </row>
    <row r="850" spans="2:27" x14ac:dyDescent="0.25">
      <c r="B850" s="1" t="s">
        <v>88</v>
      </c>
      <c r="C850" s="1" t="s">
        <v>1273</v>
      </c>
      <c r="D850" s="1" t="s">
        <v>4</v>
      </c>
      <c r="E850" s="1" t="s">
        <v>117</v>
      </c>
      <c r="M850" t="s">
        <v>1666</v>
      </c>
      <c r="AA850" t="str">
        <f t="shared" si="39"/>
        <v>Omeprazole Capsule 10 mg</v>
      </c>
    </row>
    <row r="851" spans="2:27" x14ac:dyDescent="0.25">
      <c r="B851" s="1" t="s">
        <v>88</v>
      </c>
      <c r="C851" s="1" t="s">
        <v>1273</v>
      </c>
      <c r="D851" s="1" t="s">
        <v>4</v>
      </c>
      <c r="E851" s="1" t="s">
        <v>963</v>
      </c>
      <c r="G851" s="14">
        <v>2.56</v>
      </c>
      <c r="H851" s="14" t="s">
        <v>1626</v>
      </c>
      <c r="M851" t="s">
        <v>1666</v>
      </c>
      <c r="AA851" t="str">
        <f t="shared" si="39"/>
        <v>Omeprazole Capsule 20 mg</v>
      </c>
    </row>
    <row r="852" spans="2:27" x14ac:dyDescent="0.25">
      <c r="B852" s="1" t="s">
        <v>88</v>
      </c>
      <c r="C852" s="1" t="s">
        <v>1273</v>
      </c>
      <c r="D852" s="1" t="s">
        <v>4</v>
      </c>
      <c r="E852" s="1" t="s">
        <v>966</v>
      </c>
      <c r="M852" t="s">
        <v>1666</v>
      </c>
      <c r="AA852" t="str">
        <f t="shared" si="39"/>
        <v>Omeprazole Capsule 40 mg</v>
      </c>
    </row>
    <row r="853" spans="2:27" x14ac:dyDescent="0.25">
      <c r="B853" s="1" t="s">
        <v>88</v>
      </c>
      <c r="C853" s="1" t="s">
        <v>1273</v>
      </c>
      <c r="D853" s="1" t="s">
        <v>4</v>
      </c>
      <c r="E853" s="1" t="s">
        <v>1274</v>
      </c>
      <c r="M853" t="s">
        <v>1666</v>
      </c>
      <c r="AA853" t="str">
        <f t="shared" si="39"/>
        <v>Omeprazole Powder for oral liquid 20 mg</v>
      </c>
    </row>
    <row r="854" spans="2:27" x14ac:dyDescent="0.25">
      <c r="B854" s="1" t="s">
        <v>1275</v>
      </c>
      <c r="C854" s="1" t="s">
        <v>1276</v>
      </c>
      <c r="D854" s="1" t="s">
        <v>19</v>
      </c>
      <c r="E854" s="1" t="s">
        <v>851</v>
      </c>
      <c r="G854" s="14">
        <v>4.58</v>
      </c>
      <c r="H854" s="1" t="s">
        <v>1622</v>
      </c>
      <c r="M854" t="s">
        <v>1668</v>
      </c>
      <c r="AA854" t="str">
        <f t="shared" si="39"/>
        <v>Ondansetron Tablet 4 mg</v>
      </c>
    </row>
    <row r="855" spans="2:27" x14ac:dyDescent="0.25">
      <c r="B855" s="1" t="s">
        <v>1275</v>
      </c>
      <c r="C855" s="1" t="s">
        <v>1276</v>
      </c>
      <c r="D855" s="1" t="s">
        <v>19</v>
      </c>
      <c r="E855" s="1" t="s">
        <v>312</v>
      </c>
      <c r="G855" s="14">
        <v>7.94</v>
      </c>
      <c r="H855" s="14" t="s">
        <v>1624</v>
      </c>
      <c r="M855" t="s">
        <v>1668</v>
      </c>
      <c r="AA855" t="str">
        <f t="shared" si="39"/>
        <v>Ondansetron Tablet 8 mg</v>
      </c>
    </row>
    <row r="856" spans="2:27" x14ac:dyDescent="0.25">
      <c r="B856" s="1" t="s">
        <v>1275</v>
      </c>
      <c r="C856" s="1" t="s">
        <v>1276</v>
      </c>
      <c r="D856" s="1" t="s">
        <v>19</v>
      </c>
      <c r="E856" s="1" t="s">
        <v>1277</v>
      </c>
      <c r="G856" s="1">
        <v>1.1200000000000001</v>
      </c>
      <c r="H856" s="1" t="s">
        <v>1622</v>
      </c>
      <c r="M856" t="s">
        <v>1668</v>
      </c>
      <c r="AA856" t="str">
        <f t="shared" si="39"/>
        <v xml:space="preserve">Ondansetron Oral liquid 2 mg/5 mL (p) </v>
      </c>
    </row>
    <row r="857" spans="2:27" x14ac:dyDescent="0.25">
      <c r="B857" s="1"/>
      <c r="C857" s="1"/>
      <c r="D857" s="1"/>
      <c r="E857" s="1"/>
      <c r="J857" t="s">
        <v>530</v>
      </c>
      <c r="K857" t="str">
        <f t="shared" si="40"/>
        <v xml:space="preserve"> </v>
      </c>
      <c r="L857">
        <f t="shared" si="41"/>
        <v>0</v>
      </c>
      <c r="AA857" t="str">
        <f t="shared" si="39"/>
        <v xml:space="preserve"> </v>
      </c>
    </row>
    <row r="858" spans="2:27" x14ac:dyDescent="0.25">
      <c r="B858" s="2" t="s">
        <v>1278</v>
      </c>
      <c r="C858" s="1"/>
      <c r="D858" s="1"/>
      <c r="E858" s="1"/>
      <c r="J858" t="s">
        <v>530</v>
      </c>
      <c r="K858" t="str">
        <f t="shared" si="40"/>
        <v xml:space="preserve"> </v>
      </c>
      <c r="L858" t="str">
        <f t="shared" si="41"/>
        <v>Section 16 Ear, Nose and Throat Medicines</v>
      </c>
      <c r="AA858" t="str">
        <f t="shared" si="39"/>
        <v xml:space="preserve"> </v>
      </c>
    </row>
    <row r="859" spans="2:27" x14ac:dyDescent="0.25">
      <c r="B859" s="1" t="s">
        <v>1275</v>
      </c>
      <c r="C859" s="1" t="s">
        <v>1276</v>
      </c>
      <c r="D859" s="1" t="s">
        <v>19</v>
      </c>
      <c r="E859" s="1" t="s">
        <v>898</v>
      </c>
      <c r="G859" s="14">
        <v>5.32</v>
      </c>
      <c r="H859" s="14" t="s">
        <v>1626</v>
      </c>
      <c r="M859" t="s">
        <v>1668</v>
      </c>
      <c r="AA859" t="str">
        <f t="shared" si="39"/>
        <v>Ondansetron Injection 2 mg/mL</v>
      </c>
    </row>
    <row r="860" spans="2:27" x14ac:dyDescent="0.25">
      <c r="B860" s="1" t="s">
        <v>1279</v>
      </c>
      <c r="C860" s="1" t="s">
        <v>1276</v>
      </c>
      <c r="D860" s="1" t="s">
        <v>19</v>
      </c>
      <c r="E860" s="1" t="s">
        <v>851</v>
      </c>
      <c r="G860" s="14">
        <v>4.58</v>
      </c>
      <c r="H860" s="1" t="s">
        <v>1622</v>
      </c>
      <c r="M860" t="s">
        <v>1666</v>
      </c>
      <c r="AA860" t="str">
        <f t="shared" si="39"/>
        <v>Ondansetron Tablet 4 mg</v>
      </c>
    </row>
    <row r="861" spans="2:27" x14ac:dyDescent="0.25">
      <c r="B861" s="1" t="s">
        <v>1279</v>
      </c>
      <c r="C861" s="1" t="s">
        <v>1276</v>
      </c>
      <c r="D861" s="1" t="s">
        <v>19</v>
      </c>
      <c r="E861" s="1" t="s">
        <v>1280</v>
      </c>
      <c r="G861" s="1">
        <v>1.1200000000000001</v>
      </c>
      <c r="H861" s="1" t="s">
        <v>1622</v>
      </c>
      <c r="M861" t="s">
        <v>1666</v>
      </c>
      <c r="AA861" t="str">
        <f t="shared" si="39"/>
        <v xml:space="preserve">Ondansetron Oral Liquid 2 mg/5 mL (p) </v>
      </c>
    </row>
    <row r="862" spans="2:27" x14ac:dyDescent="0.25">
      <c r="B862" s="1" t="s">
        <v>1279</v>
      </c>
      <c r="C862" s="1" t="s">
        <v>1276</v>
      </c>
      <c r="D862" s="1" t="s">
        <v>19</v>
      </c>
      <c r="E862" s="1" t="s">
        <v>1281</v>
      </c>
      <c r="M862" t="s">
        <v>1666</v>
      </c>
      <c r="AA862" t="str">
        <f t="shared" si="39"/>
        <v>Ondansetron Injection 2 mg/ mL</v>
      </c>
    </row>
    <row r="863" spans="2:27" x14ac:dyDescent="0.25">
      <c r="B863" s="1" t="s">
        <v>1282</v>
      </c>
      <c r="C863" s="1" t="s">
        <v>1283</v>
      </c>
      <c r="D863" s="1" t="s">
        <v>4</v>
      </c>
      <c r="E863" s="1" t="s">
        <v>391</v>
      </c>
      <c r="AA863" t="str">
        <f t="shared" si="39"/>
        <v>Oral poliomyelitis vaccine As licensed</v>
      </c>
    </row>
    <row r="864" spans="2:27" x14ac:dyDescent="0.25">
      <c r="B864" s="1" t="s">
        <v>165</v>
      </c>
      <c r="C864" s="1" t="s">
        <v>1284</v>
      </c>
      <c r="D864" s="1" t="s">
        <v>4</v>
      </c>
      <c r="E864" s="1" t="s">
        <v>391</v>
      </c>
      <c r="AA864" t="str">
        <f t="shared" si="39"/>
        <v>Oral rehydration salts As licensed</v>
      </c>
    </row>
    <row r="865" spans="2:27" x14ac:dyDescent="0.25">
      <c r="B865" s="1"/>
      <c r="C865" s="1"/>
      <c r="D865" s="1"/>
      <c r="E865" s="1"/>
      <c r="J865" t="s">
        <v>530</v>
      </c>
      <c r="K865" t="str">
        <f t="shared" si="40"/>
        <v xml:space="preserve"> </v>
      </c>
      <c r="L865">
        <f t="shared" si="41"/>
        <v>0</v>
      </c>
      <c r="AA865" t="str">
        <f t="shared" si="39"/>
        <v xml:space="preserve"> </v>
      </c>
    </row>
    <row r="866" spans="2:27" x14ac:dyDescent="0.25">
      <c r="B866" s="2" t="s">
        <v>1285</v>
      </c>
      <c r="C866" s="1"/>
      <c r="D866" s="1"/>
      <c r="E866" s="1"/>
      <c r="J866" t="s">
        <v>530</v>
      </c>
      <c r="K866" t="str">
        <f t="shared" si="40"/>
        <v xml:space="preserve"> </v>
      </c>
      <c r="L866" t="str">
        <f t="shared" si="41"/>
        <v>Section 17 Gastrointestinal Medicines</v>
      </c>
      <c r="AA866" t="str">
        <f t="shared" si="39"/>
        <v xml:space="preserve"> </v>
      </c>
    </row>
    <row r="867" spans="2:27" x14ac:dyDescent="0.25">
      <c r="B867" s="2" t="s">
        <v>1286</v>
      </c>
      <c r="C867" s="1"/>
      <c r="D867" s="1"/>
      <c r="E867" s="1"/>
      <c r="J867" t="s">
        <v>530</v>
      </c>
      <c r="K867" t="str">
        <f t="shared" si="40"/>
        <v xml:space="preserve"> </v>
      </c>
      <c r="L867" t="str">
        <f t="shared" si="41"/>
        <v>17.1 - Antiulcer Medicines</v>
      </c>
      <c r="AA867" t="str">
        <f t="shared" si="39"/>
        <v xml:space="preserve"> </v>
      </c>
    </row>
    <row r="868" spans="2:27" x14ac:dyDescent="0.25">
      <c r="B868" s="1" t="s">
        <v>418</v>
      </c>
      <c r="C868" s="1" t="s">
        <v>1287</v>
      </c>
      <c r="D868" s="1" t="s">
        <v>4</v>
      </c>
      <c r="E868" s="1" t="s">
        <v>391</v>
      </c>
      <c r="AA868" t="str">
        <f t="shared" si="39"/>
        <v>Oral rehydration salts** As licensed</v>
      </c>
    </row>
    <row r="869" spans="2:27" x14ac:dyDescent="0.25">
      <c r="B869" s="1" t="s">
        <v>1288</v>
      </c>
      <c r="C869" s="1" t="s">
        <v>1289</v>
      </c>
      <c r="D869" s="1" t="s">
        <v>4</v>
      </c>
      <c r="E869" s="1" t="s">
        <v>129</v>
      </c>
      <c r="AA869" t="str">
        <f t="shared" si="39"/>
        <v>Ormeloxifene (Centchroman) Tablet 30 mg</v>
      </c>
    </row>
    <row r="870" spans="2:27" x14ac:dyDescent="0.25">
      <c r="B870" s="1" t="s">
        <v>1290</v>
      </c>
      <c r="C870" s="1" t="s">
        <v>1291</v>
      </c>
      <c r="D870" s="1" t="s">
        <v>8</v>
      </c>
      <c r="E870" s="1" t="s">
        <v>1292</v>
      </c>
      <c r="M870" t="s">
        <v>1668</v>
      </c>
      <c r="AA870" t="str">
        <f t="shared" si="39"/>
        <v>Oxaliplatin Injection 5 mg/mL in 20 mL vial</v>
      </c>
    </row>
    <row r="871" spans="2:27" x14ac:dyDescent="0.25">
      <c r="B871" s="1" t="s">
        <v>1290</v>
      </c>
      <c r="C871" s="1" t="s">
        <v>1291</v>
      </c>
      <c r="D871" s="1" t="s">
        <v>8</v>
      </c>
      <c r="E871" s="1" t="s">
        <v>1293</v>
      </c>
      <c r="G871" s="1">
        <v>1992.32</v>
      </c>
      <c r="H871" s="1" t="s">
        <v>1622</v>
      </c>
      <c r="M871" t="s">
        <v>1668</v>
      </c>
      <c r="AA871" t="str">
        <f t="shared" si="39"/>
        <v>Oxaliplatin Injection 5 mg/mL in 10 mL vial</v>
      </c>
    </row>
    <row r="872" spans="2:27" x14ac:dyDescent="0.25">
      <c r="B872" s="1">
        <v>27.5</v>
      </c>
      <c r="C872" s="1" t="s">
        <v>1294</v>
      </c>
      <c r="D872" s="1" t="s">
        <v>4</v>
      </c>
      <c r="E872" s="1" t="s">
        <v>1263</v>
      </c>
      <c r="AA872" t="str">
        <f t="shared" si="39"/>
        <v>Oxygen As licensed for medical purpose</v>
      </c>
    </row>
    <row r="873" spans="2:27" x14ac:dyDescent="0.25">
      <c r="B873" s="1"/>
      <c r="C873" s="1"/>
      <c r="D873" s="1"/>
      <c r="E873" s="1"/>
      <c r="J873" t="s">
        <v>530</v>
      </c>
      <c r="K873" t="str">
        <f t="shared" si="40"/>
        <v xml:space="preserve"> </v>
      </c>
      <c r="L873">
        <f t="shared" si="41"/>
        <v>0</v>
      </c>
      <c r="AA873" t="str">
        <f t="shared" si="39"/>
        <v xml:space="preserve"> </v>
      </c>
    </row>
    <row r="874" spans="2:27" x14ac:dyDescent="0.25">
      <c r="B874" s="2" t="s">
        <v>1295</v>
      </c>
      <c r="C874" s="1"/>
      <c r="D874" s="1"/>
      <c r="E874" s="1"/>
      <c r="J874" t="s">
        <v>530</v>
      </c>
      <c r="K874" t="str">
        <f t="shared" si="40"/>
        <v xml:space="preserve"> </v>
      </c>
      <c r="L874" t="str">
        <f t="shared" si="41"/>
        <v>17.2    Antiemetics</v>
      </c>
      <c r="AA874" t="str">
        <f t="shared" si="39"/>
        <v xml:space="preserve"> </v>
      </c>
    </row>
    <row r="875" spans="2:27" x14ac:dyDescent="0.25">
      <c r="B875" s="1" t="s">
        <v>1296</v>
      </c>
      <c r="C875" s="1" t="s">
        <v>1297</v>
      </c>
      <c r="D875" s="1" t="s">
        <v>4</v>
      </c>
      <c r="E875" s="1" t="s">
        <v>1263</v>
      </c>
      <c r="M875" t="s">
        <v>1630</v>
      </c>
      <c r="N875" t="s">
        <v>1631</v>
      </c>
      <c r="AA875" t="str">
        <f t="shared" si="39"/>
        <v>Oxygen* As licensed for medical purpose</v>
      </c>
    </row>
    <row r="876" spans="2:27" x14ac:dyDescent="0.25">
      <c r="B876" s="1" t="s">
        <v>1298</v>
      </c>
      <c r="C876" s="1" t="s">
        <v>1299</v>
      </c>
      <c r="D876" s="1" t="s">
        <v>4</v>
      </c>
      <c r="E876" s="1" t="s">
        <v>1300</v>
      </c>
      <c r="G876" s="14">
        <v>15.91</v>
      </c>
      <c r="H876" s="14" t="s">
        <v>1626</v>
      </c>
      <c r="M876" t="s">
        <v>1679</v>
      </c>
      <c r="AA876" t="str">
        <f t="shared" si="39"/>
        <v>Oxytocin Injection 5 IU/mL</v>
      </c>
    </row>
    <row r="877" spans="2:27" x14ac:dyDescent="0.25">
      <c r="B877" s="1" t="s">
        <v>1298</v>
      </c>
      <c r="C877" s="1" t="s">
        <v>1299</v>
      </c>
      <c r="D877" s="1" t="s">
        <v>4</v>
      </c>
      <c r="E877" s="1" t="s">
        <v>1301</v>
      </c>
      <c r="M877" t="s">
        <v>1679</v>
      </c>
      <c r="AA877" t="str">
        <f t="shared" si="39"/>
        <v>Oxytocin Injection 10 IU/mL</v>
      </c>
    </row>
    <row r="878" spans="2:27" x14ac:dyDescent="0.25">
      <c r="B878" s="1" t="s">
        <v>1302</v>
      </c>
      <c r="C878" s="1" t="s">
        <v>1303</v>
      </c>
      <c r="D878" s="1" t="s">
        <v>8</v>
      </c>
      <c r="E878" s="1" t="s">
        <v>1304</v>
      </c>
      <c r="M878" t="s">
        <v>1668</v>
      </c>
      <c r="AA878" t="str">
        <f t="shared" si="39"/>
        <v>Paclitaxel Injection 100 mg/16.7 mL</v>
      </c>
    </row>
    <row r="879" spans="2:27" x14ac:dyDescent="0.25">
      <c r="B879" s="1" t="s">
        <v>1302</v>
      </c>
      <c r="C879" s="1" t="s">
        <v>1303</v>
      </c>
      <c r="D879" s="1" t="s">
        <v>8</v>
      </c>
      <c r="E879" s="1" t="s">
        <v>1305</v>
      </c>
      <c r="M879" t="s">
        <v>1668</v>
      </c>
      <c r="AA879" t="str">
        <f t="shared" si="39"/>
        <v>Paclitaxel Injection 30 mg/5 mL</v>
      </c>
    </row>
    <row r="880" spans="2:27" x14ac:dyDescent="0.25">
      <c r="B880" s="1" t="s">
        <v>1306</v>
      </c>
      <c r="C880" s="1" t="s">
        <v>1307</v>
      </c>
      <c r="D880" s="1" t="s">
        <v>19</v>
      </c>
      <c r="E880" s="1" t="s">
        <v>1308</v>
      </c>
      <c r="G880" s="14">
        <v>45</v>
      </c>
      <c r="H880" s="14" t="s">
        <v>1624</v>
      </c>
      <c r="AA880" t="str">
        <f t="shared" si="39"/>
        <v>Pantoprazole Injection 40 mg</v>
      </c>
    </row>
    <row r="881" spans="2:27" x14ac:dyDescent="0.25">
      <c r="B881" s="1" t="s">
        <v>1309</v>
      </c>
      <c r="C881" s="1" t="s">
        <v>1310</v>
      </c>
      <c r="D881" s="1" t="s">
        <v>19</v>
      </c>
      <c r="E881" s="1" t="s">
        <v>1311</v>
      </c>
      <c r="M881" t="s">
        <v>735</v>
      </c>
      <c r="N881" t="s">
        <v>1655</v>
      </c>
      <c r="AA881" t="str">
        <f t="shared" si="39"/>
        <v>Para- aminosalicylic acid Granules (As licensed)</v>
      </c>
    </row>
    <row r="882" spans="2:27" x14ac:dyDescent="0.25">
      <c r="B882" s="1"/>
      <c r="C882" s="1"/>
      <c r="D882" s="1"/>
      <c r="E882" s="1"/>
      <c r="J882" t="s">
        <v>530</v>
      </c>
      <c r="K882" t="str">
        <f t="shared" si="40"/>
        <v xml:space="preserve"> </v>
      </c>
      <c r="L882">
        <f t="shared" si="41"/>
        <v>0</v>
      </c>
      <c r="AA882" t="str">
        <f t="shared" si="39"/>
        <v xml:space="preserve"> </v>
      </c>
    </row>
    <row r="883" spans="2:27" x14ac:dyDescent="0.25">
      <c r="B883" s="2" t="s">
        <v>1312</v>
      </c>
      <c r="C883" s="1"/>
      <c r="D883" s="1"/>
      <c r="E883" s="1"/>
      <c r="J883" t="s">
        <v>530</v>
      </c>
      <c r="K883" t="str">
        <f t="shared" si="40"/>
        <v xml:space="preserve"> </v>
      </c>
      <c r="L883" t="str">
        <f t="shared" si="41"/>
        <v>17.3    Anti-inflammatory medicines</v>
      </c>
      <c r="AA883" t="str">
        <f t="shared" si="39"/>
        <v xml:space="preserve"> </v>
      </c>
    </row>
    <row r="884" spans="2:27" x14ac:dyDescent="0.25">
      <c r="B884" s="1" t="s">
        <v>1313</v>
      </c>
      <c r="C884" s="1" t="s">
        <v>486</v>
      </c>
      <c r="D884" s="1" t="s">
        <v>4</v>
      </c>
      <c r="E884" s="1" t="s">
        <v>85</v>
      </c>
      <c r="G884" s="14">
        <v>0.8</v>
      </c>
      <c r="H884" s="14" t="s">
        <v>1626</v>
      </c>
      <c r="M884" t="s">
        <v>1635</v>
      </c>
      <c r="N884" t="s">
        <v>1636</v>
      </c>
      <c r="AA884" t="str">
        <f t="shared" si="39"/>
        <v>Paracetamol Tablet 500 mg</v>
      </c>
    </row>
    <row r="885" spans="2:27" x14ac:dyDescent="0.25">
      <c r="B885" s="1" t="s">
        <v>1313</v>
      </c>
      <c r="C885" s="1" t="s">
        <v>486</v>
      </c>
      <c r="D885" s="1" t="s">
        <v>4</v>
      </c>
      <c r="E885" s="1" t="s">
        <v>1314</v>
      </c>
      <c r="G885" s="10">
        <v>1.78</v>
      </c>
      <c r="H885" s="13" t="s">
        <v>1617</v>
      </c>
      <c r="I885" s="13" t="s">
        <v>1618</v>
      </c>
      <c r="M885" t="s">
        <v>1635</v>
      </c>
      <c r="N885" t="s">
        <v>1636</v>
      </c>
      <c r="AA885" t="str">
        <f t="shared" si="39"/>
        <v>Paracetamol Tablet 650 mg</v>
      </c>
    </row>
    <row r="886" spans="2:27" x14ac:dyDescent="0.25">
      <c r="B886" s="1"/>
      <c r="C886" s="1"/>
      <c r="D886" s="1"/>
      <c r="E886" s="1"/>
      <c r="J886" t="s">
        <v>530</v>
      </c>
      <c r="K886" t="str">
        <f t="shared" si="40"/>
        <v xml:space="preserve"> </v>
      </c>
      <c r="L886">
        <f t="shared" si="41"/>
        <v>0</v>
      </c>
      <c r="AA886" t="str">
        <f t="shared" si="39"/>
        <v xml:space="preserve"> </v>
      </c>
    </row>
    <row r="887" spans="2:27" x14ac:dyDescent="0.25">
      <c r="B887" s="2" t="s">
        <v>1315</v>
      </c>
      <c r="C887" s="1"/>
      <c r="D887" s="1"/>
      <c r="E887" s="1"/>
      <c r="J887" t="s">
        <v>530</v>
      </c>
      <c r="K887" t="str">
        <f t="shared" si="40"/>
        <v xml:space="preserve"> </v>
      </c>
      <c r="L887" t="str">
        <f t="shared" si="41"/>
        <v>17.4  Antispasmodic medicines</v>
      </c>
      <c r="AA887" t="str">
        <f t="shared" si="39"/>
        <v xml:space="preserve"> </v>
      </c>
    </row>
    <row r="888" spans="2:27" x14ac:dyDescent="0.25">
      <c r="B888" s="1" t="s">
        <v>1313</v>
      </c>
      <c r="C888" s="1" t="s">
        <v>486</v>
      </c>
      <c r="D888" s="1" t="s">
        <v>4</v>
      </c>
      <c r="E888" s="1" t="s">
        <v>870</v>
      </c>
      <c r="G888" s="14">
        <v>0.54</v>
      </c>
      <c r="H888" s="1" t="s">
        <v>1622</v>
      </c>
      <c r="M888" t="s">
        <v>1635</v>
      </c>
      <c r="N888" t="s">
        <v>1636</v>
      </c>
      <c r="AA888" t="str">
        <f t="shared" si="39"/>
        <v>Paracetamol Oral liquid 120 mg/5 mL (p)</v>
      </c>
    </row>
    <row r="889" spans="2:27" x14ac:dyDescent="0.25">
      <c r="B889" s="1" t="s">
        <v>1313</v>
      </c>
      <c r="C889" s="1" t="s">
        <v>486</v>
      </c>
      <c r="D889" s="1" t="s">
        <v>4</v>
      </c>
      <c r="E889" s="1" t="s">
        <v>804</v>
      </c>
      <c r="G889" s="14">
        <v>0.33</v>
      </c>
      <c r="H889" s="1" t="s">
        <v>1622</v>
      </c>
      <c r="M889" t="s">
        <v>1635</v>
      </c>
      <c r="N889" t="s">
        <v>1636</v>
      </c>
      <c r="AA889" t="str">
        <f t="shared" si="39"/>
        <v>Paracetamol Oral Liquid 125 mg/5 mL (p)</v>
      </c>
    </row>
    <row r="890" spans="2:27" x14ac:dyDescent="0.25">
      <c r="B890" s="1" t="s">
        <v>1313</v>
      </c>
      <c r="C890" s="1" t="s">
        <v>486</v>
      </c>
      <c r="D890" s="1" t="s">
        <v>4</v>
      </c>
      <c r="E890" s="1" t="s">
        <v>1316</v>
      </c>
      <c r="G890" s="14">
        <v>0.6</v>
      </c>
      <c r="H890" s="1" t="s">
        <v>1622</v>
      </c>
      <c r="M890" t="s">
        <v>1635</v>
      </c>
      <c r="N890" t="s">
        <v>1636</v>
      </c>
      <c r="AA890" t="str">
        <f t="shared" si="39"/>
        <v>Paracetamol Oral Liquid 250 mg/5 mL (p)</v>
      </c>
    </row>
    <row r="891" spans="2:27" x14ac:dyDescent="0.25">
      <c r="B891" s="1" t="s">
        <v>1313</v>
      </c>
      <c r="C891" s="1" t="s">
        <v>486</v>
      </c>
      <c r="D891" s="1" t="s">
        <v>4</v>
      </c>
      <c r="E891" s="1" t="s">
        <v>290</v>
      </c>
      <c r="M891" t="s">
        <v>1635</v>
      </c>
      <c r="N891" t="s">
        <v>1636</v>
      </c>
      <c r="AA891" t="str">
        <f t="shared" si="39"/>
        <v>Paracetamol Injection 150 mg/ mL</v>
      </c>
    </row>
    <row r="892" spans="2:27" x14ac:dyDescent="0.25">
      <c r="B892" s="1" t="s">
        <v>1313</v>
      </c>
      <c r="C892" s="1" t="s">
        <v>486</v>
      </c>
      <c r="D892" s="1" t="s">
        <v>4</v>
      </c>
      <c r="E892" s="1" t="s">
        <v>1317</v>
      </c>
      <c r="G892" s="14">
        <v>5.94</v>
      </c>
      <c r="H892" s="14" t="s">
        <v>1626</v>
      </c>
      <c r="M892" t="s">
        <v>1635</v>
      </c>
      <c r="N892" t="s">
        <v>1636</v>
      </c>
      <c r="AA892" t="str">
        <f t="shared" si="39"/>
        <v>Paracetamol Suppository 80 mg</v>
      </c>
    </row>
    <row r="893" spans="2:27" x14ac:dyDescent="0.25">
      <c r="B893" s="1"/>
      <c r="C893" s="1"/>
      <c r="D893" s="1"/>
      <c r="E893" s="1"/>
      <c r="J893" t="s">
        <v>530</v>
      </c>
      <c r="K893" t="str">
        <f t="shared" si="40"/>
        <v xml:space="preserve"> </v>
      </c>
      <c r="L893">
        <f t="shared" si="41"/>
        <v>0</v>
      </c>
      <c r="AA893" t="str">
        <f t="shared" si="39"/>
        <v xml:space="preserve"> </v>
      </c>
    </row>
    <row r="894" spans="2:27" x14ac:dyDescent="0.25">
      <c r="B894" s="2" t="s">
        <v>1318</v>
      </c>
      <c r="C894" s="1"/>
      <c r="D894" s="1"/>
      <c r="E894" s="1"/>
      <c r="J894" t="s">
        <v>530</v>
      </c>
      <c r="K894" t="str">
        <f t="shared" si="40"/>
        <v xml:space="preserve"> </v>
      </c>
      <c r="L894" t="str">
        <f t="shared" si="41"/>
        <v>17.5   Laxatives</v>
      </c>
      <c r="AA894" t="str">
        <f t="shared" si="39"/>
        <v xml:space="preserve"> </v>
      </c>
    </row>
    <row r="895" spans="2:27" x14ac:dyDescent="0.25">
      <c r="B895" s="1" t="s">
        <v>1313</v>
      </c>
      <c r="C895" s="1" t="s">
        <v>486</v>
      </c>
      <c r="D895" s="1" t="s">
        <v>4</v>
      </c>
      <c r="E895" s="1" t="s">
        <v>1319</v>
      </c>
      <c r="G895" s="14">
        <v>7.09</v>
      </c>
      <c r="H895" s="14" t="s">
        <v>1626</v>
      </c>
      <c r="M895" t="s">
        <v>1635</v>
      </c>
      <c r="N895" t="s">
        <v>1636</v>
      </c>
      <c r="AA895" t="str">
        <f t="shared" si="39"/>
        <v>Paracetamol Suppository 170 mg</v>
      </c>
    </row>
    <row r="896" spans="2:27" x14ac:dyDescent="0.25">
      <c r="B896" s="1" t="s">
        <v>1320</v>
      </c>
      <c r="C896" s="1" t="s">
        <v>486</v>
      </c>
      <c r="D896" s="1" t="s">
        <v>4</v>
      </c>
      <c r="E896" s="1" t="s">
        <v>85</v>
      </c>
      <c r="G896" s="14">
        <v>0.8</v>
      </c>
      <c r="H896" s="14" t="s">
        <v>1626</v>
      </c>
      <c r="M896" t="s">
        <v>651</v>
      </c>
      <c r="N896" t="s">
        <v>1643</v>
      </c>
      <c r="AA896" t="str">
        <f t="shared" si="39"/>
        <v>Paracetamol Tablet 500 mg</v>
      </c>
    </row>
    <row r="897" spans="2:27" x14ac:dyDescent="0.25">
      <c r="B897" s="1" t="s">
        <v>1320</v>
      </c>
      <c r="C897" s="1" t="s">
        <v>486</v>
      </c>
      <c r="D897" s="1" t="s">
        <v>4</v>
      </c>
      <c r="E897" s="1" t="s">
        <v>1314</v>
      </c>
      <c r="G897" s="10">
        <v>1.78</v>
      </c>
      <c r="H897" s="13" t="s">
        <v>1617</v>
      </c>
      <c r="I897" s="13" t="s">
        <v>1618</v>
      </c>
      <c r="M897" t="s">
        <v>651</v>
      </c>
      <c r="N897" t="s">
        <v>1643</v>
      </c>
      <c r="AA897" t="str">
        <f t="shared" si="39"/>
        <v>Paracetamol Tablet 650 mg</v>
      </c>
    </row>
    <row r="898" spans="2:27" x14ac:dyDescent="0.25">
      <c r="B898" s="1" t="s">
        <v>1320</v>
      </c>
      <c r="C898" s="1" t="s">
        <v>486</v>
      </c>
      <c r="D898" s="1" t="s">
        <v>4</v>
      </c>
      <c r="E898" s="1" t="s">
        <v>1321</v>
      </c>
      <c r="G898" s="14">
        <v>0.54</v>
      </c>
      <c r="H898" s="1" t="s">
        <v>1622</v>
      </c>
      <c r="M898" t="s">
        <v>651</v>
      </c>
      <c r="N898" t="s">
        <v>1643</v>
      </c>
      <c r="AA898" t="str">
        <f t="shared" si="39"/>
        <v>Paracetamol Oral liquid   120 mg/5mL (p)</v>
      </c>
    </row>
    <row r="899" spans="2:27" x14ac:dyDescent="0.25">
      <c r="B899" s="1"/>
      <c r="C899" s="1"/>
      <c r="D899" s="1"/>
      <c r="E899" s="1"/>
      <c r="J899" t="s">
        <v>530</v>
      </c>
      <c r="K899" t="str">
        <f t="shared" si="40"/>
        <v xml:space="preserve"> </v>
      </c>
      <c r="L899">
        <f t="shared" si="41"/>
        <v>0</v>
      </c>
      <c r="AA899" t="str">
        <f t="shared" si="39"/>
        <v xml:space="preserve"> </v>
      </c>
    </row>
    <row r="900" spans="2:27" x14ac:dyDescent="0.25">
      <c r="B900" s="2" t="s">
        <v>415</v>
      </c>
      <c r="C900" s="1"/>
      <c r="D900" s="1"/>
      <c r="E900" s="1"/>
      <c r="J900" t="s">
        <v>530</v>
      </c>
      <c r="K900" t="str">
        <f t="shared" si="40"/>
        <v xml:space="preserve"> </v>
      </c>
      <c r="L900" t="str">
        <f t="shared" si="41"/>
        <v>17.6  Medicines used in diarrhea</v>
      </c>
      <c r="AA900" t="str">
        <f t="shared" si="39"/>
        <v xml:space="preserve"> </v>
      </c>
    </row>
    <row r="901" spans="2:27" x14ac:dyDescent="0.25">
      <c r="B901" s="1" t="s">
        <v>1320</v>
      </c>
      <c r="C901" s="1" t="s">
        <v>486</v>
      </c>
      <c r="D901" s="1" t="s">
        <v>4</v>
      </c>
      <c r="E901" s="1" t="s">
        <v>1322</v>
      </c>
      <c r="G901" s="14">
        <v>0.33</v>
      </c>
      <c r="H901" s="1" t="s">
        <v>1622</v>
      </c>
      <c r="M901" t="s">
        <v>651</v>
      </c>
      <c r="N901" t="s">
        <v>1643</v>
      </c>
      <c r="AA901" t="str">
        <f t="shared" si="39"/>
        <v>Paracetamol Oral Liquid 125 mg/5mL (p)</v>
      </c>
    </row>
    <row r="902" spans="2:27" x14ac:dyDescent="0.25">
      <c r="B902" s="1" t="s">
        <v>1320</v>
      </c>
      <c r="C902" s="1" t="s">
        <v>486</v>
      </c>
      <c r="D902" s="1" t="s">
        <v>4</v>
      </c>
      <c r="E902" s="1" t="s">
        <v>1323</v>
      </c>
      <c r="G902" s="14">
        <v>0.6</v>
      </c>
      <c r="H902" s="1" t="s">
        <v>1622</v>
      </c>
      <c r="M902" t="s">
        <v>651</v>
      </c>
      <c r="N902" t="s">
        <v>1643</v>
      </c>
      <c r="AA902" t="str">
        <f t="shared" si="39"/>
        <v>Paracetamol Oral Liquid 250 mg/5mL (p)</v>
      </c>
    </row>
    <row r="903" spans="2:27" x14ac:dyDescent="0.25">
      <c r="B903" s="1"/>
      <c r="C903" s="1"/>
      <c r="D903" s="1"/>
      <c r="E903" s="1"/>
      <c r="J903" t="s">
        <v>530</v>
      </c>
      <c r="K903" t="str">
        <f t="shared" si="40"/>
        <v xml:space="preserve"> </v>
      </c>
      <c r="L903">
        <f t="shared" si="41"/>
        <v>0</v>
      </c>
      <c r="AA903" t="str">
        <f t="shared" si="39"/>
        <v xml:space="preserve"> </v>
      </c>
    </row>
    <row r="904" spans="2:27" x14ac:dyDescent="0.25">
      <c r="B904" s="2" t="s">
        <v>423</v>
      </c>
      <c r="C904" s="1"/>
      <c r="D904" s="1"/>
      <c r="E904" s="1"/>
      <c r="J904" t="s">
        <v>530</v>
      </c>
      <c r="K904" t="str">
        <f t="shared" si="40"/>
        <v xml:space="preserve"> </v>
      </c>
      <c r="L904" t="str">
        <f t="shared" si="41"/>
        <v>17.7   Other medicines</v>
      </c>
      <c r="AA904" t="str">
        <f t="shared" si="39"/>
        <v xml:space="preserve"> </v>
      </c>
    </row>
    <row r="905" spans="2:27" x14ac:dyDescent="0.25">
      <c r="B905" s="1">
        <v>27.4</v>
      </c>
      <c r="C905" s="1" t="s">
        <v>486</v>
      </c>
      <c r="D905" s="1" t="s">
        <v>4</v>
      </c>
      <c r="E905" s="1" t="s">
        <v>85</v>
      </c>
      <c r="G905" s="14">
        <v>0.8</v>
      </c>
      <c r="H905" s="14" t="s">
        <v>1626</v>
      </c>
      <c r="M905" t="s">
        <v>1678</v>
      </c>
      <c r="AA905" t="str">
        <f t="shared" ref="AA905:AA968" si="42">C905&amp;" "&amp;E905</f>
        <v>Paracetamol Tablet 500 mg</v>
      </c>
    </row>
    <row r="906" spans="2:27" x14ac:dyDescent="0.25">
      <c r="B906" s="1"/>
      <c r="C906" s="1"/>
      <c r="D906" s="1"/>
      <c r="E906" s="1"/>
      <c r="J906" t="s">
        <v>530</v>
      </c>
      <c r="K906" t="str">
        <f t="shared" ref="K906:K966" si="43">C906&amp;" "&amp;E906</f>
        <v xml:space="preserve"> </v>
      </c>
      <c r="L906">
        <f t="shared" ref="L906:L966" si="44">B906</f>
        <v>0</v>
      </c>
      <c r="AA906" t="str">
        <f t="shared" si="42"/>
        <v xml:space="preserve"> </v>
      </c>
    </row>
    <row r="907" spans="2:27" x14ac:dyDescent="0.25">
      <c r="B907" s="2" t="s">
        <v>408</v>
      </c>
      <c r="C907" s="1"/>
      <c r="D907" s="1"/>
      <c r="E907" s="1"/>
      <c r="J907" t="s">
        <v>530</v>
      </c>
      <c r="K907" t="str">
        <f t="shared" si="43"/>
        <v xml:space="preserve"> </v>
      </c>
      <c r="L907" t="str">
        <f t="shared" si="44"/>
        <v>Section 18 Hormones, other Endocrine Medicines and Contraceptives</v>
      </c>
      <c r="AA907" t="str">
        <f t="shared" si="42"/>
        <v xml:space="preserve"> </v>
      </c>
    </row>
    <row r="908" spans="2:27" x14ac:dyDescent="0.25">
      <c r="B908" s="2" t="s">
        <v>410</v>
      </c>
      <c r="C908" s="1"/>
      <c r="D908" s="1"/>
      <c r="E908" s="1"/>
      <c r="J908" t="s">
        <v>530</v>
      </c>
      <c r="K908" t="str">
        <f t="shared" si="43"/>
        <v xml:space="preserve"> </v>
      </c>
      <c r="L908" t="str">
        <f t="shared" si="44"/>
        <v>18.1-Adrenal Hormones and Synthetic substitutes</v>
      </c>
      <c r="AA908" t="str">
        <f t="shared" si="42"/>
        <v xml:space="preserve"> </v>
      </c>
    </row>
    <row r="909" spans="2:27" x14ac:dyDescent="0.25">
      <c r="B909" s="1">
        <v>27.4</v>
      </c>
      <c r="C909" s="1" t="s">
        <v>486</v>
      </c>
      <c r="D909" s="1" t="s">
        <v>4</v>
      </c>
      <c r="E909" s="1" t="s">
        <v>1314</v>
      </c>
      <c r="G909" s="10">
        <v>1.78</v>
      </c>
      <c r="H909" s="13" t="s">
        <v>1617</v>
      </c>
      <c r="I909" s="13" t="s">
        <v>1618</v>
      </c>
      <c r="M909" t="s">
        <v>1678</v>
      </c>
      <c r="AA909" t="str">
        <f t="shared" si="42"/>
        <v>Paracetamol Tablet 650 mg</v>
      </c>
    </row>
    <row r="910" spans="2:27" x14ac:dyDescent="0.25">
      <c r="B910" s="1">
        <v>27.4</v>
      </c>
      <c r="C910" s="1" t="s">
        <v>486</v>
      </c>
      <c r="D910" s="1" t="s">
        <v>4</v>
      </c>
      <c r="E910" s="1" t="s">
        <v>1316</v>
      </c>
      <c r="G910" s="14">
        <v>0.6</v>
      </c>
      <c r="H910" s="1" t="s">
        <v>1622</v>
      </c>
      <c r="M910" t="s">
        <v>1678</v>
      </c>
      <c r="AA910" t="str">
        <f t="shared" si="42"/>
        <v>Paracetamol Oral Liquid 250 mg/5 mL (p)</v>
      </c>
    </row>
    <row r="911" spans="2:27" x14ac:dyDescent="0.25">
      <c r="B911" s="1">
        <v>27.4</v>
      </c>
      <c r="C911" s="1" t="s">
        <v>486</v>
      </c>
      <c r="D911" s="1" t="s">
        <v>4</v>
      </c>
      <c r="E911" s="1" t="s">
        <v>1324</v>
      </c>
      <c r="G911" s="14">
        <v>0.33</v>
      </c>
      <c r="H911" s="1" t="s">
        <v>1622</v>
      </c>
      <c r="M911" t="s">
        <v>1678</v>
      </c>
      <c r="AA911" t="str">
        <f t="shared" si="42"/>
        <v xml:space="preserve">Paracetamol Oral Liquid 125 mg/5 mL (p) </v>
      </c>
    </row>
    <row r="912" spans="2:27" x14ac:dyDescent="0.25">
      <c r="B912" s="1">
        <v>27.4</v>
      </c>
      <c r="C912" s="1" t="s">
        <v>486</v>
      </c>
      <c r="D912" s="1" t="s">
        <v>4</v>
      </c>
      <c r="E912" s="1" t="s">
        <v>1325</v>
      </c>
      <c r="G912" s="14">
        <v>0.54</v>
      </c>
      <c r="H912" s="1" t="s">
        <v>1622</v>
      </c>
      <c r="M912" t="s">
        <v>1678</v>
      </c>
      <c r="AA912" t="str">
        <f t="shared" si="42"/>
        <v>Paracetamol 
Oral liquid 120 mg/5 mL (p)</v>
      </c>
    </row>
    <row r="913" spans="2:27" x14ac:dyDescent="0.25">
      <c r="B913" s="1" t="s">
        <v>1326</v>
      </c>
      <c r="C913" s="1" t="s">
        <v>1327</v>
      </c>
      <c r="D913" s="1" t="s">
        <v>4</v>
      </c>
      <c r="E913" s="1" t="s">
        <v>1328</v>
      </c>
      <c r="AA913" t="str">
        <f t="shared" si="42"/>
        <v>Paromomycin Injection 375 mg/mL</v>
      </c>
    </row>
    <row r="914" spans="2:27" x14ac:dyDescent="0.25">
      <c r="B914" s="1">
        <v>13.2</v>
      </c>
      <c r="C914" s="1" t="s">
        <v>1329</v>
      </c>
      <c r="D914" s="1" t="s">
        <v>19</v>
      </c>
      <c r="E914" s="1" t="s">
        <v>391</v>
      </c>
      <c r="AA914" t="str">
        <f t="shared" si="42"/>
        <v>Peritoneal dialysis solution As licensed</v>
      </c>
    </row>
    <row r="915" spans="2:27" x14ac:dyDescent="0.25">
      <c r="B915" s="1" t="s">
        <v>1330</v>
      </c>
      <c r="C915" s="1" t="s">
        <v>490</v>
      </c>
      <c r="D915" s="1" t="s">
        <v>4</v>
      </c>
      <c r="E915" s="1" t="s">
        <v>1331</v>
      </c>
      <c r="M915" t="s">
        <v>1671</v>
      </c>
      <c r="AA915" t="str">
        <f t="shared" si="42"/>
        <v>Permethrin Cream 5 %</v>
      </c>
    </row>
    <row r="916" spans="2:27" x14ac:dyDescent="0.25">
      <c r="B916" s="1" t="s">
        <v>1330</v>
      </c>
      <c r="C916" s="1" t="s">
        <v>490</v>
      </c>
      <c r="D916" s="1" t="s">
        <v>4</v>
      </c>
      <c r="E916" s="1" t="s">
        <v>800</v>
      </c>
      <c r="M916" t="s">
        <v>1671</v>
      </c>
      <c r="AA916" t="str">
        <f t="shared" si="42"/>
        <v>Permethrin Lotion 1 %</v>
      </c>
    </row>
    <row r="917" spans="2:27" x14ac:dyDescent="0.25">
      <c r="B917" s="1">
        <v>3.5</v>
      </c>
      <c r="C917" s="1" t="s">
        <v>1332</v>
      </c>
      <c r="D917" s="1" t="s">
        <v>4</v>
      </c>
      <c r="E917" s="1" t="s">
        <v>1333</v>
      </c>
      <c r="M917" t="s">
        <v>598</v>
      </c>
      <c r="AA917" t="str">
        <f t="shared" si="42"/>
        <v>Pheniramine Injection 22.75 mg/mL</v>
      </c>
    </row>
    <row r="918" spans="2:27" x14ac:dyDescent="0.25">
      <c r="B918" s="1" t="s">
        <v>1334</v>
      </c>
      <c r="C918" s="1" t="s">
        <v>1335</v>
      </c>
      <c r="D918" s="1" t="s">
        <v>4</v>
      </c>
      <c r="E918" s="1" t="s">
        <v>129</v>
      </c>
      <c r="G918" s="14">
        <v>1.17</v>
      </c>
      <c r="H918" s="14" t="s">
        <v>1624</v>
      </c>
      <c r="M918" t="s">
        <v>651</v>
      </c>
      <c r="N918" t="s">
        <v>1642</v>
      </c>
      <c r="AA918" t="str">
        <f t="shared" si="42"/>
        <v>Phenobarbitone Tablet 30 mg</v>
      </c>
    </row>
    <row r="919" spans="2:27" x14ac:dyDescent="0.25">
      <c r="B919" s="1" t="s">
        <v>1334</v>
      </c>
      <c r="C919" s="1" t="s">
        <v>1335</v>
      </c>
      <c r="D919" s="1" t="s">
        <v>4</v>
      </c>
      <c r="E919" s="1" t="s">
        <v>128</v>
      </c>
      <c r="G919" s="14">
        <v>1.69</v>
      </c>
      <c r="H919" s="1" t="s">
        <v>1622</v>
      </c>
      <c r="M919" t="s">
        <v>651</v>
      </c>
      <c r="N919" t="s">
        <v>1642</v>
      </c>
      <c r="AA919" t="str">
        <f t="shared" si="42"/>
        <v>Phenobarbitone Tablet 60 mg</v>
      </c>
    </row>
    <row r="920" spans="2:27" x14ac:dyDescent="0.25">
      <c r="B920" s="1" t="s">
        <v>1334</v>
      </c>
      <c r="C920" s="1" t="s">
        <v>1335</v>
      </c>
      <c r="D920" s="1" t="s">
        <v>4</v>
      </c>
      <c r="E920" s="1" t="s">
        <v>1336</v>
      </c>
      <c r="M920" t="s">
        <v>651</v>
      </c>
      <c r="N920" t="s">
        <v>1642</v>
      </c>
      <c r="AA920" t="str">
        <f t="shared" si="42"/>
        <v>Phenobarbitone Oral liquid 20 mg/5 mL (p)</v>
      </c>
    </row>
    <row r="921" spans="2:27" x14ac:dyDescent="0.25">
      <c r="B921" s="1" t="s">
        <v>1334</v>
      </c>
      <c r="C921" s="1" t="s">
        <v>1335</v>
      </c>
      <c r="D921" s="1" t="s">
        <v>19</v>
      </c>
      <c r="E921" s="1" t="s">
        <v>1238</v>
      </c>
      <c r="G921" s="14">
        <v>19.75</v>
      </c>
      <c r="H921" s="1" t="s">
        <v>1622</v>
      </c>
      <c r="M921" t="s">
        <v>651</v>
      </c>
      <c r="N921" t="s">
        <v>1642</v>
      </c>
      <c r="AA921" t="str">
        <f t="shared" si="42"/>
        <v>Phenobarbitone Injection 200 mg/mL</v>
      </c>
    </row>
    <row r="922" spans="2:27" x14ac:dyDescent="0.25">
      <c r="B922" s="1"/>
      <c r="C922" s="1"/>
      <c r="D922" s="1"/>
      <c r="E922" s="1"/>
      <c r="J922" t="s">
        <v>530</v>
      </c>
      <c r="K922" t="str">
        <f t="shared" si="43"/>
        <v xml:space="preserve"> </v>
      </c>
      <c r="L922">
        <f t="shared" si="44"/>
        <v>0</v>
      </c>
      <c r="AA922" t="str">
        <f t="shared" si="42"/>
        <v xml:space="preserve"> </v>
      </c>
    </row>
    <row r="923" spans="2:27" x14ac:dyDescent="0.25">
      <c r="B923" s="2" t="s">
        <v>1337</v>
      </c>
      <c r="C923" s="1"/>
      <c r="D923" s="1"/>
      <c r="E923" s="1"/>
      <c r="J923" t="s">
        <v>530</v>
      </c>
      <c r="K923" t="str">
        <f t="shared" si="43"/>
        <v xml:space="preserve"> </v>
      </c>
      <c r="L923" t="str">
        <f t="shared" si="44"/>
        <v>18.2    Contraceptives</v>
      </c>
      <c r="AA923" t="str">
        <f t="shared" si="42"/>
        <v xml:space="preserve"> </v>
      </c>
    </row>
    <row r="924" spans="2:27" x14ac:dyDescent="0.25">
      <c r="B924" s="2" t="s">
        <v>1338</v>
      </c>
      <c r="C924" s="1"/>
      <c r="D924" s="1"/>
      <c r="E924" s="1"/>
      <c r="J924" t="s">
        <v>530</v>
      </c>
      <c r="K924" t="str">
        <f t="shared" si="43"/>
        <v xml:space="preserve"> </v>
      </c>
      <c r="L924" t="str">
        <f t="shared" si="44"/>
        <v>18.2.1 - Hormonal Contraceptives</v>
      </c>
      <c r="AA924" t="str">
        <f t="shared" si="42"/>
        <v xml:space="preserve"> </v>
      </c>
    </row>
    <row r="925" spans="2:27" x14ac:dyDescent="0.25">
      <c r="B925" s="1" t="s">
        <v>358</v>
      </c>
      <c r="C925" s="1" t="s">
        <v>359</v>
      </c>
      <c r="D925" s="1" t="s">
        <v>4</v>
      </c>
      <c r="E925" s="1" t="s">
        <v>309</v>
      </c>
      <c r="M925" t="s">
        <v>735</v>
      </c>
      <c r="N925" t="s">
        <v>1651</v>
      </c>
      <c r="O925" t="s">
        <v>1652</v>
      </c>
      <c r="AA925" t="str">
        <f t="shared" si="42"/>
        <v>Phenoxymethyl penicillin Tablet 250 mg</v>
      </c>
    </row>
    <row r="926" spans="2:27" x14ac:dyDescent="0.25">
      <c r="B926" s="1" t="s">
        <v>1339</v>
      </c>
      <c r="C926" s="1" t="s">
        <v>1340</v>
      </c>
      <c r="D926" s="1" t="s">
        <v>4</v>
      </c>
      <c r="E926" s="1" t="s">
        <v>1341</v>
      </c>
      <c r="M926" t="s">
        <v>1670</v>
      </c>
      <c r="AA926" t="str">
        <f t="shared" si="42"/>
        <v>Phenylephrine Drops 10 %</v>
      </c>
    </row>
    <row r="927" spans="2:27" x14ac:dyDescent="0.25">
      <c r="B927" s="1" t="s">
        <v>647</v>
      </c>
      <c r="C927" s="1" t="s">
        <v>1340</v>
      </c>
      <c r="D927" s="1" t="s">
        <v>4</v>
      </c>
      <c r="E927" s="1" t="s">
        <v>1246</v>
      </c>
      <c r="M927" t="s">
        <v>1670</v>
      </c>
      <c r="AA927" t="str">
        <f t="shared" si="42"/>
        <v>Phenylephrine Drops 5 %</v>
      </c>
    </row>
    <row r="928" spans="2:27" x14ac:dyDescent="0.25">
      <c r="B928" s="1" t="s">
        <v>1342</v>
      </c>
      <c r="C928" s="1" t="s">
        <v>1343</v>
      </c>
      <c r="D928" s="1" t="s">
        <v>4</v>
      </c>
      <c r="E928" s="1" t="s">
        <v>28</v>
      </c>
      <c r="G928" s="14">
        <v>5.31</v>
      </c>
      <c r="H928" s="1" t="s">
        <v>1622</v>
      </c>
      <c r="M928" t="s">
        <v>651</v>
      </c>
      <c r="N928" t="s">
        <v>1642</v>
      </c>
      <c r="AA928" t="str">
        <f t="shared" si="42"/>
        <v>Phenytoin Tablet 50 mg</v>
      </c>
    </row>
    <row r="929" spans="2:27" x14ac:dyDescent="0.25">
      <c r="B929" s="1"/>
      <c r="C929" s="1"/>
      <c r="D929" s="1"/>
      <c r="E929" s="1"/>
      <c r="J929" t="s">
        <v>530</v>
      </c>
      <c r="K929" t="str">
        <f t="shared" si="43"/>
        <v xml:space="preserve"> </v>
      </c>
      <c r="L929">
        <f t="shared" si="44"/>
        <v>0</v>
      </c>
      <c r="AA929" t="str">
        <f t="shared" si="42"/>
        <v xml:space="preserve"> </v>
      </c>
    </row>
    <row r="930" spans="2:27" x14ac:dyDescent="0.25">
      <c r="B930" s="2" t="s">
        <v>1344</v>
      </c>
      <c r="C930" s="1"/>
      <c r="D930" s="1"/>
      <c r="E930" s="1"/>
      <c r="J930" t="s">
        <v>530</v>
      </c>
      <c r="K930" t="str">
        <f t="shared" si="43"/>
        <v xml:space="preserve"> </v>
      </c>
      <c r="L930" t="str">
        <f t="shared" si="44"/>
        <v>18.2.2 - Intrauterine Devices</v>
      </c>
      <c r="AA930" t="str">
        <f t="shared" si="42"/>
        <v xml:space="preserve"> </v>
      </c>
    </row>
    <row r="931" spans="2:27" x14ac:dyDescent="0.25">
      <c r="B931" s="1" t="s">
        <v>1342</v>
      </c>
      <c r="C931" s="1" t="s">
        <v>1343</v>
      </c>
      <c r="D931" s="1" t="s">
        <v>4</v>
      </c>
      <c r="E931" s="1" t="s">
        <v>29</v>
      </c>
      <c r="M931" t="s">
        <v>651</v>
      </c>
      <c r="N931" t="s">
        <v>1642</v>
      </c>
      <c r="AA931" t="str">
        <f t="shared" si="42"/>
        <v>Phenytoin Tablet 100 mg</v>
      </c>
    </row>
    <row r="932" spans="2:27" x14ac:dyDescent="0.25">
      <c r="B932" s="1" t="s">
        <v>1342</v>
      </c>
      <c r="C932" s="1" t="s">
        <v>1343</v>
      </c>
      <c r="D932" s="1" t="s">
        <v>4</v>
      </c>
      <c r="E932" s="1" t="s">
        <v>278</v>
      </c>
      <c r="G932" s="14">
        <v>4.8899999999999997</v>
      </c>
      <c r="H932" s="14" t="s">
        <v>1624</v>
      </c>
      <c r="M932" t="s">
        <v>651</v>
      </c>
      <c r="N932" t="s">
        <v>1642</v>
      </c>
      <c r="AA932" t="str">
        <f t="shared" si="42"/>
        <v>Phenytoin Tablet 300 mg</v>
      </c>
    </row>
    <row r="933" spans="2:27" x14ac:dyDescent="0.25">
      <c r="B933" s="1"/>
      <c r="C933" s="1"/>
      <c r="D933" s="1"/>
      <c r="E933" s="1"/>
      <c r="J933" t="s">
        <v>530</v>
      </c>
      <c r="K933" t="str">
        <f t="shared" si="43"/>
        <v xml:space="preserve"> </v>
      </c>
      <c r="L933">
        <f t="shared" si="44"/>
        <v>0</v>
      </c>
      <c r="AA933" t="str">
        <f t="shared" si="42"/>
        <v xml:space="preserve"> </v>
      </c>
    </row>
    <row r="934" spans="2:27" x14ac:dyDescent="0.25">
      <c r="B934" s="2" t="s">
        <v>431</v>
      </c>
      <c r="C934" s="1"/>
      <c r="D934" s="1"/>
      <c r="E934" s="1"/>
      <c r="J934" t="s">
        <v>530</v>
      </c>
      <c r="K934" t="str">
        <f t="shared" si="43"/>
        <v xml:space="preserve"> </v>
      </c>
      <c r="L934" t="str">
        <f t="shared" si="44"/>
        <v>18.2.3 - Barrier methods</v>
      </c>
      <c r="AA934" t="str">
        <f t="shared" si="42"/>
        <v xml:space="preserve"> </v>
      </c>
    </row>
    <row r="935" spans="2:27" x14ac:dyDescent="0.25">
      <c r="B935" s="1" t="s">
        <v>1342</v>
      </c>
      <c r="C935" s="1" t="s">
        <v>1343</v>
      </c>
      <c r="D935" s="1" t="s">
        <v>4</v>
      </c>
      <c r="E935" s="1" t="s">
        <v>1345</v>
      </c>
      <c r="M935" t="s">
        <v>651</v>
      </c>
      <c r="N935" t="s">
        <v>1642</v>
      </c>
      <c r="AA935" t="str">
        <f t="shared" si="42"/>
        <v>Phenytoin Oral liquid 30 mg/5 mL (p)</v>
      </c>
    </row>
    <row r="936" spans="2:27" x14ac:dyDescent="0.25">
      <c r="B936" s="1"/>
      <c r="C936" s="1"/>
      <c r="D936" s="1"/>
      <c r="E936" s="1"/>
      <c r="J936" t="s">
        <v>530</v>
      </c>
      <c r="K936" t="str">
        <f t="shared" si="43"/>
        <v xml:space="preserve"> </v>
      </c>
      <c r="L936">
        <f t="shared" si="44"/>
        <v>0</v>
      </c>
      <c r="AA936" t="str">
        <f t="shared" si="42"/>
        <v xml:space="preserve"> </v>
      </c>
    </row>
    <row r="937" spans="2:27" x14ac:dyDescent="0.25">
      <c r="B937" s="2" t="s">
        <v>438</v>
      </c>
      <c r="C937" s="1"/>
      <c r="D937" s="1"/>
      <c r="E937" s="1"/>
      <c r="J937" t="s">
        <v>530</v>
      </c>
      <c r="K937" t="str">
        <f t="shared" si="43"/>
        <v xml:space="preserve"> </v>
      </c>
      <c r="L937" t="str">
        <f t="shared" si="44"/>
        <v>18.3 - Medicines used in Diabetes Mellitus</v>
      </c>
      <c r="AA937" t="str">
        <f t="shared" si="42"/>
        <v xml:space="preserve"> </v>
      </c>
    </row>
    <row r="938" spans="2:27" x14ac:dyDescent="0.25">
      <c r="B938" s="2" t="s">
        <v>441</v>
      </c>
      <c r="C938" s="1"/>
      <c r="D938" s="1"/>
      <c r="E938" s="1"/>
      <c r="J938" t="s">
        <v>530</v>
      </c>
      <c r="K938" t="str">
        <f t="shared" si="43"/>
        <v xml:space="preserve"> </v>
      </c>
      <c r="L938" t="str">
        <f t="shared" si="44"/>
        <v>18.3.1 - Insulins and other Antidiabetic agents</v>
      </c>
      <c r="AA938" t="str">
        <f t="shared" si="42"/>
        <v xml:space="preserve"> </v>
      </c>
    </row>
    <row r="939" spans="2:27" x14ac:dyDescent="0.25">
      <c r="B939" s="1" t="s">
        <v>1342</v>
      </c>
      <c r="C939" s="1" t="s">
        <v>1343</v>
      </c>
      <c r="D939" s="1" t="s">
        <v>4</v>
      </c>
      <c r="E939" s="1" t="s">
        <v>1346</v>
      </c>
      <c r="M939" t="s">
        <v>651</v>
      </c>
      <c r="N939" t="s">
        <v>1642</v>
      </c>
      <c r="AA939" t="str">
        <f t="shared" si="42"/>
        <v>Phenytoin Modified Release Tablet 300 mg</v>
      </c>
    </row>
    <row r="940" spans="2:27" x14ac:dyDescent="0.25">
      <c r="B940" s="1" t="s">
        <v>1342</v>
      </c>
      <c r="C940" s="1" t="s">
        <v>1343</v>
      </c>
      <c r="D940" s="1" t="s">
        <v>4</v>
      </c>
      <c r="E940" s="1" t="s">
        <v>862</v>
      </c>
      <c r="M940" t="s">
        <v>651</v>
      </c>
      <c r="N940" t="s">
        <v>1642</v>
      </c>
      <c r="AA940" t="str">
        <f t="shared" si="42"/>
        <v>Phenytoin Injection 25 mg/mL</v>
      </c>
    </row>
    <row r="941" spans="2:27" x14ac:dyDescent="0.25">
      <c r="B941" s="1" t="s">
        <v>1342</v>
      </c>
      <c r="C941" s="1" t="s">
        <v>1343</v>
      </c>
      <c r="D941" s="1" t="s">
        <v>4</v>
      </c>
      <c r="E941" s="1" t="s">
        <v>731</v>
      </c>
      <c r="M941" t="s">
        <v>651</v>
      </c>
      <c r="N941" t="s">
        <v>1642</v>
      </c>
      <c r="AA941" t="str">
        <f t="shared" si="42"/>
        <v>Phenytoin Oral liquid 125 mg/5 mL (p)</v>
      </c>
    </row>
    <row r="942" spans="2:27" x14ac:dyDescent="0.25">
      <c r="B942" s="1" t="s">
        <v>1342</v>
      </c>
      <c r="C942" s="1" t="s">
        <v>1343</v>
      </c>
      <c r="D942" s="1" t="s">
        <v>4</v>
      </c>
      <c r="E942" s="1" t="s">
        <v>182</v>
      </c>
      <c r="M942" t="s">
        <v>651</v>
      </c>
      <c r="N942" t="s">
        <v>1642</v>
      </c>
      <c r="AA942" t="str">
        <f t="shared" si="42"/>
        <v>Phenytoin Injection 50 mg/mL</v>
      </c>
    </row>
    <row r="943" spans="2:27" x14ac:dyDescent="0.25">
      <c r="B943" s="1" t="s">
        <v>1347</v>
      </c>
      <c r="C943" s="1" t="s">
        <v>1348</v>
      </c>
      <c r="D943" s="1" t="s">
        <v>4</v>
      </c>
      <c r="E943" s="1" t="s">
        <v>220</v>
      </c>
      <c r="M943" t="s">
        <v>1681</v>
      </c>
      <c r="AA943" t="str">
        <f t="shared" si="42"/>
        <v>Phytomenadione (Vitamin K1) Tablet 10 mg</v>
      </c>
    </row>
    <row r="944" spans="2:27" x14ac:dyDescent="0.25">
      <c r="B944" s="1" t="s">
        <v>1347</v>
      </c>
      <c r="C944" s="1" t="s">
        <v>1348</v>
      </c>
      <c r="D944" s="1" t="s">
        <v>4</v>
      </c>
      <c r="E944" s="1" t="s">
        <v>643</v>
      </c>
      <c r="M944" t="s">
        <v>1681</v>
      </c>
      <c r="AA944" t="str">
        <f t="shared" si="42"/>
        <v>Phytomenadione (Vitamin K1) Injection 10 mg/mL</v>
      </c>
    </row>
    <row r="945" spans="2:27" x14ac:dyDescent="0.25">
      <c r="B945" s="1" t="s">
        <v>1349</v>
      </c>
      <c r="C945" s="1" t="s">
        <v>1350</v>
      </c>
      <c r="D945" s="1" t="s">
        <v>4</v>
      </c>
      <c r="E945" s="1" t="s">
        <v>1351</v>
      </c>
      <c r="M945" t="s">
        <v>1670</v>
      </c>
      <c r="AA945" t="str">
        <f t="shared" si="42"/>
        <v>Pilocarpine Drops 2 %</v>
      </c>
    </row>
    <row r="946" spans="2:27" x14ac:dyDescent="0.25">
      <c r="B946" s="1" t="s">
        <v>1349</v>
      </c>
      <c r="C946" s="1" t="s">
        <v>1350</v>
      </c>
      <c r="D946" s="1" t="s">
        <v>4</v>
      </c>
      <c r="E946" s="1" t="s">
        <v>1352</v>
      </c>
      <c r="M946" t="s">
        <v>1670</v>
      </c>
      <c r="AA946" t="str">
        <f t="shared" si="42"/>
        <v>Pilocarpine Drops 4 %</v>
      </c>
    </row>
    <row r="947" spans="2:27" x14ac:dyDescent="0.25">
      <c r="B947" s="1" t="s">
        <v>1353</v>
      </c>
      <c r="C947" s="1" t="s">
        <v>1354</v>
      </c>
      <c r="D947" s="1" t="s">
        <v>8</v>
      </c>
      <c r="E947" s="1" t="s">
        <v>1355</v>
      </c>
      <c r="G947" s="14">
        <v>88.88</v>
      </c>
      <c r="H947" s="14" t="s">
        <v>1624</v>
      </c>
      <c r="M947" t="s">
        <v>735</v>
      </c>
      <c r="N947" t="s">
        <v>1651</v>
      </c>
      <c r="O947" t="s">
        <v>1652</v>
      </c>
      <c r="AA947" t="str">
        <f t="shared" si="42"/>
        <v>Piperacillin (A) + Tazobactam (B) Powder for Injection 1000 mg
(A) + 125 mg (B)</v>
      </c>
    </row>
    <row r="948" spans="2:27" x14ac:dyDescent="0.25">
      <c r="B948" s="1" t="s">
        <v>1353</v>
      </c>
      <c r="C948" s="1" t="s">
        <v>1354</v>
      </c>
      <c r="D948" s="1" t="s">
        <v>8</v>
      </c>
      <c r="E948" s="1" t="s">
        <v>1356</v>
      </c>
      <c r="G948" s="14">
        <v>170.83</v>
      </c>
      <c r="H948" s="14" t="s">
        <v>1624</v>
      </c>
      <c r="M948" t="s">
        <v>735</v>
      </c>
      <c r="N948" t="s">
        <v>1651</v>
      </c>
      <c r="O948" t="s">
        <v>1652</v>
      </c>
      <c r="AA948" t="str">
        <f t="shared" si="42"/>
        <v>Piperacillin (A) + Tazobactam (B) Powder for Injection 2000 mg (A) + 250 mg (B)</v>
      </c>
    </row>
    <row r="949" spans="2:27" x14ac:dyDescent="0.25">
      <c r="B949" s="1"/>
      <c r="C949" s="1"/>
      <c r="D949" s="1"/>
      <c r="E949" s="1"/>
      <c r="J949" t="s">
        <v>530</v>
      </c>
      <c r="K949" t="str">
        <f t="shared" si="43"/>
        <v xml:space="preserve"> </v>
      </c>
      <c r="L949">
        <f t="shared" si="44"/>
        <v>0</v>
      </c>
      <c r="AA949" t="str">
        <f t="shared" si="42"/>
        <v xml:space="preserve"> </v>
      </c>
    </row>
    <row r="950" spans="2:27" x14ac:dyDescent="0.25">
      <c r="B950" s="2" t="s">
        <v>1357</v>
      </c>
      <c r="C950" s="1"/>
      <c r="D950" s="1"/>
      <c r="E950" s="1"/>
      <c r="J950" t="s">
        <v>530</v>
      </c>
      <c r="K950" t="str">
        <f t="shared" si="43"/>
        <v xml:space="preserve"> </v>
      </c>
      <c r="L950" t="str">
        <f t="shared" si="44"/>
        <v>18.3.2 - Medicines used to treat Hypoglycemia</v>
      </c>
      <c r="AA950" t="str">
        <f t="shared" si="42"/>
        <v xml:space="preserve"> </v>
      </c>
    </row>
    <row r="951" spans="2:27" x14ac:dyDescent="0.25">
      <c r="B951" s="1" t="s">
        <v>1353</v>
      </c>
      <c r="C951" s="1" t="s">
        <v>1354</v>
      </c>
      <c r="D951" s="1" t="s">
        <v>8</v>
      </c>
      <c r="E951" s="1" t="s">
        <v>1358</v>
      </c>
      <c r="G951" s="14">
        <v>356.21</v>
      </c>
      <c r="H951" s="14" t="s">
        <v>1624</v>
      </c>
      <c r="M951" t="s">
        <v>735</v>
      </c>
      <c r="N951" t="s">
        <v>1651</v>
      </c>
      <c r="O951" t="s">
        <v>1652</v>
      </c>
      <c r="AA951" t="str">
        <f t="shared" si="42"/>
        <v>Piperacillin (A) + Tazobactam (B) Powder for Injection 4000 mg
(A) + 500 mg (B)</v>
      </c>
    </row>
    <row r="952" spans="2:27" x14ac:dyDescent="0.25">
      <c r="B952" s="1"/>
      <c r="C952" s="1"/>
      <c r="D952" s="1"/>
      <c r="E952" s="1"/>
      <c r="J952" t="s">
        <v>530</v>
      </c>
      <c r="K952" t="str">
        <f t="shared" si="43"/>
        <v xml:space="preserve"> </v>
      </c>
      <c r="L952">
        <f t="shared" si="44"/>
        <v>0</v>
      </c>
      <c r="AA952" t="str">
        <f t="shared" si="42"/>
        <v xml:space="preserve"> </v>
      </c>
    </row>
    <row r="953" spans="2:27" x14ac:dyDescent="0.25">
      <c r="B953" s="2" t="s">
        <v>1359</v>
      </c>
      <c r="C953" s="1"/>
      <c r="D953" s="1"/>
      <c r="E953" s="1"/>
      <c r="J953" t="s">
        <v>530</v>
      </c>
      <c r="K953" t="str">
        <f t="shared" si="43"/>
        <v xml:space="preserve"> </v>
      </c>
      <c r="L953" t="str">
        <f t="shared" si="44"/>
        <v>18.4-Ovulation Inducers</v>
      </c>
      <c r="AA953" t="str">
        <f t="shared" si="42"/>
        <v xml:space="preserve"> </v>
      </c>
    </row>
    <row r="954" spans="2:27" x14ac:dyDescent="0.25">
      <c r="B954" s="1" t="s">
        <v>1360</v>
      </c>
      <c r="C954" s="1" t="s">
        <v>1361</v>
      </c>
      <c r="D954" s="1" t="s">
        <v>19</v>
      </c>
      <c r="E954" s="1" t="s">
        <v>391</v>
      </c>
      <c r="AA954" t="str">
        <f t="shared" si="42"/>
        <v>Platelet rich plasma/ Platelet concentrates As licensed</v>
      </c>
    </row>
    <row r="955" spans="2:27" x14ac:dyDescent="0.25">
      <c r="B955" s="1" t="s">
        <v>1362</v>
      </c>
      <c r="C955" s="1" t="s">
        <v>1363</v>
      </c>
      <c r="D955" s="1" t="s">
        <v>19</v>
      </c>
      <c r="E955" s="1" t="s">
        <v>1364</v>
      </c>
      <c r="AA955" t="str">
        <f t="shared" si="42"/>
        <v>Podophyllin resin Solution 20 %</v>
      </c>
    </row>
    <row r="956" spans="2:27" x14ac:dyDescent="0.25">
      <c r="B956" s="1" t="s">
        <v>206</v>
      </c>
      <c r="C956" s="1" t="s">
        <v>1365</v>
      </c>
      <c r="D956" s="1" t="s">
        <v>4</v>
      </c>
      <c r="E956" s="1" t="s">
        <v>1366</v>
      </c>
      <c r="G956" s="1">
        <v>0.27</v>
      </c>
      <c r="H956" s="1" t="s">
        <v>1622</v>
      </c>
      <c r="M956" t="s">
        <v>1683</v>
      </c>
      <c r="AA956" t="str">
        <f t="shared" si="42"/>
        <v>Potassium chloride Oral liquid 500 mg/5 mL</v>
      </c>
    </row>
    <row r="957" spans="2:27" x14ac:dyDescent="0.25">
      <c r="B957" s="1" t="s">
        <v>206</v>
      </c>
      <c r="C957" s="1" t="s">
        <v>1365</v>
      </c>
      <c r="D957" s="1" t="s">
        <v>19</v>
      </c>
      <c r="E957" s="1" t="s">
        <v>1367</v>
      </c>
      <c r="M957" t="s">
        <v>1683</v>
      </c>
      <c r="AA957" t="str">
        <f t="shared" si="42"/>
        <v>Potassium chloride Injection 150 mg/mL</v>
      </c>
    </row>
    <row r="958" spans="2:27" x14ac:dyDescent="0.25">
      <c r="B958" s="1" t="s">
        <v>1368</v>
      </c>
      <c r="C958" s="1" t="s">
        <v>1369</v>
      </c>
      <c r="D958" s="1" t="s">
        <v>4</v>
      </c>
      <c r="E958" s="1" t="s">
        <v>1370</v>
      </c>
      <c r="AA958" t="str">
        <f t="shared" si="42"/>
        <v>Potassium permanganate Crystals for topical solution</v>
      </c>
    </row>
    <row r="959" spans="2:27" x14ac:dyDescent="0.25">
      <c r="B959" s="1"/>
      <c r="C959" s="1"/>
      <c r="D959" s="1"/>
      <c r="E959" s="1"/>
      <c r="J959" t="s">
        <v>530</v>
      </c>
      <c r="K959" t="str">
        <f t="shared" si="43"/>
        <v xml:space="preserve"> </v>
      </c>
      <c r="L959">
        <f t="shared" si="44"/>
        <v>0</v>
      </c>
      <c r="AA959" t="str">
        <f t="shared" si="42"/>
        <v xml:space="preserve"> </v>
      </c>
    </row>
    <row r="960" spans="2:27" x14ac:dyDescent="0.25">
      <c r="B960" s="2" t="s">
        <v>1371</v>
      </c>
      <c r="C960" s="1"/>
      <c r="D960" s="1"/>
      <c r="E960" s="1"/>
      <c r="J960" t="s">
        <v>530</v>
      </c>
      <c r="K960" t="str">
        <f t="shared" si="43"/>
        <v xml:space="preserve"> </v>
      </c>
      <c r="L960" t="str">
        <f t="shared" si="44"/>
        <v>18.5-Progestogens</v>
      </c>
      <c r="AA960" t="str">
        <f t="shared" si="42"/>
        <v xml:space="preserve"> </v>
      </c>
    </row>
    <row r="961" spans="2:27" x14ac:dyDescent="0.25">
      <c r="B961" s="1" t="s">
        <v>1372</v>
      </c>
      <c r="C961" s="1" t="s">
        <v>1373</v>
      </c>
      <c r="D961" s="1" t="s">
        <v>4</v>
      </c>
      <c r="E961" s="1" t="s">
        <v>1374</v>
      </c>
      <c r="M961" t="s">
        <v>1685</v>
      </c>
      <c r="AA961" t="str">
        <f t="shared" si="42"/>
        <v>Povidone iodine Solution 4%</v>
      </c>
    </row>
    <row r="962" spans="2:27" x14ac:dyDescent="0.25">
      <c r="B962" s="1" t="s">
        <v>1372</v>
      </c>
      <c r="C962" s="1" t="s">
        <v>1373</v>
      </c>
      <c r="D962" s="1" t="s">
        <v>4</v>
      </c>
      <c r="E962" s="1" t="s">
        <v>1375</v>
      </c>
      <c r="M962" t="s">
        <v>1685</v>
      </c>
      <c r="AA962" t="str">
        <f t="shared" si="42"/>
        <v>Povidone iodine Solution 7.5%</v>
      </c>
    </row>
    <row r="963" spans="2:27" x14ac:dyDescent="0.25">
      <c r="B963" s="1" t="s">
        <v>1372</v>
      </c>
      <c r="C963" s="1" t="s">
        <v>1373</v>
      </c>
      <c r="D963" s="1" t="s">
        <v>4</v>
      </c>
      <c r="E963" s="1" t="s">
        <v>1376</v>
      </c>
      <c r="M963" t="s">
        <v>1685</v>
      </c>
      <c r="AA963" t="str">
        <f t="shared" si="42"/>
        <v>Povidone iodine Solution 10%</v>
      </c>
    </row>
    <row r="964" spans="2:27" x14ac:dyDescent="0.25">
      <c r="B964" s="1" t="s">
        <v>1372</v>
      </c>
      <c r="C964" s="1" t="s">
        <v>1373</v>
      </c>
      <c r="D964" s="1" t="s">
        <v>4</v>
      </c>
      <c r="E964" s="1" t="s">
        <v>111</v>
      </c>
      <c r="M964" t="s">
        <v>1685</v>
      </c>
      <c r="AA964" t="str">
        <f t="shared" si="42"/>
        <v>Povidone iodine Solution 5%</v>
      </c>
    </row>
    <row r="965" spans="2:27" x14ac:dyDescent="0.25">
      <c r="B965" s="1"/>
      <c r="C965" s="1"/>
      <c r="D965" s="1"/>
      <c r="E965" s="1"/>
      <c r="J965" t="s">
        <v>530</v>
      </c>
      <c r="K965" t="str">
        <f t="shared" si="43"/>
        <v xml:space="preserve"> </v>
      </c>
      <c r="L965">
        <f t="shared" si="44"/>
        <v>0</v>
      </c>
      <c r="AA965" t="str">
        <f t="shared" si="42"/>
        <v xml:space="preserve"> </v>
      </c>
    </row>
    <row r="966" spans="2:27" x14ac:dyDescent="0.25">
      <c r="B966" s="2" t="s">
        <v>1377</v>
      </c>
      <c r="C966" s="1"/>
      <c r="D966" s="1"/>
      <c r="E966" s="1"/>
      <c r="J966" t="s">
        <v>530</v>
      </c>
      <c r="K966" t="str">
        <f t="shared" si="43"/>
        <v xml:space="preserve"> </v>
      </c>
      <c r="L966" t="str">
        <f t="shared" si="44"/>
        <v>18.6-Thyroid and Antithyroid Medicines</v>
      </c>
      <c r="AA966" t="str">
        <f t="shared" si="42"/>
        <v xml:space="preserve"> </v>
      </c>
    </row>
    <row r="967" spans="2:27" x14ac:dyDescent="0.25">
      <c r="B967" s="1" t="s">
        <v>310</v>
      </c>
      <c r="C967" s="1" t="s">
        <v>1373</v>
      </c>
      <c r="D967" s="1" t="s">
        <v>4</v>
      </c>
      <c r="E967" s="1" t="s">
        <v>1246</v>
      </c>
      <c r="AA967" t="str">
        <f t="shared" si="42"/>
        <v>Povidone iodine Drops 5 %</v>
      </c>
    </row>
    <row r="968" spans="2:27" x14ac:dyDescent="0.25">
      <c r="B968" s="1" t="s">
        <v>354</v>
      </c>
      <c r="C968" s="1" t="s">
        <v>1378</v>
      </c>
      <c r="D968" s="1" t="s">
        <v>4</v>
      </c>
      <c r="E968" s="1" t="s">
        <v>862</v>
      </c>
      <c r="G968" s="14">
        <v>4.07</v>
      </c>
      <c r="H968" s="1" t="s">
        <v>1622</v>
      </c>
      <c r="M968" t="s">
        <v>631</v>
      </c>
      <c r="N968" t="s">
        <v>1641</v>
      </c>
      <c r="AA968" t="str">
        <f t="shared" si="42"/>
        <v>Pralidoxime chloride (2-PAM) Injection 25 mg/mL</v>
      </c>
    </row>
    <row r="969" spans="2:27" x14ac:dyDescent="0.25">
      <c r="B969" s="1" t="s">
        <v>1379</v>
      </c>
      <c r="C969" s="1" t="s">
        <v>1380</v>
      </c>
      <c r="D969" s="1" t="s">
        <v>19</v>
      </c>
      <c r="E969" s="1" t="s">
        <v>844</v>
      </c>
      <c r="M969" t="s">
        <v>735</v>
      </c>
      <c r="N969" t="s">
        <v>1648</v>
      </c>
      <c r="O969" t="s">
        <v>1650</v>
      </c>
      <c r="AA969" t="str">
        <f t="shared" ref="AA969:AA1032" si="45">C969&amp;" "&amp;E969</f>
        <v>Praziquantel Tablet 600 mg</v>
      </c>
    </row>
    <row r="970" spans="2:27" x14ac:dyDescent="0.25">
      <c r="B970" s="1">
        <v>3.6</v>
      </c>
      <c r="C970" s="1" t="s">
        <v>361</v>
      </c>
      <c r="D970" s="1" t="s">
        <v>4</v>
      </c>
      <c r="E970" s="1" t="s">
        <v>381</v>
      </c>
      <c r="G970" s="14">
        <v>0.61</v>
      </c>
      <c r="H970" s="14" t="s">
        <v>1626</v>
      </c>
      <c r="M970" t="s">
        <v>598</v>
      </c>
      <c r="AA970" t="str">
        <f t="shared" si="45"/>
        <v>Prednisolone Tablet 5 mg</v>
      </c>
    </row>
    <row r="971" spans="2:27" x14ac:dyDescent="0.25">
      <c r="B971" s="1">
        <v>3.6</v>
      </c>
      <c r="C971" s="1" t="s">
        <v>361</v>
      </c>
      <c r="D971" s="1" t="s">
        <v>4</v>
      </c>
      <c r="E971" s="1" t="s">
        <v>220</v>
      </c>
      <c r="G971" s="14">
        <v>1.07</v>
      </c>
      <c r="H971" s="14" t="s">
        <v>1626</v>
      </c>
      <c r="M971" t="s">
        <v>598</v>
      </c>
      <c r="AA971" t="str">
        <f t="shared" si="45"/>
        <v>Prednisolone Tablet 10 mg</v>
      </c>
    </row>
    <row r="972" spans="2:27" x14ac:dyDescent="0.25">
      <c r="B972" s="1">
        <v>3.6</v>
      </c>
      <c r="C972" s="1" t="s">
        <v>361</v>
      </c>
      <c r="D972" s="1" t="s">
        <v>4</v>
      </c>
      <c r="E972" s="1" t="s">
        <v>76</v>
      </c>
      <c r="G972" s="14">
        <v>2.14</v>
      </c>
      <c r="H972" s="14" t="s">
        <v>1626</v>
      </c>
      <c r="M972" t="s">
        <v>598</v>
      </c>
      <c r="AA972" t="str">
        <f t="shared" si="45"/>
        <v>Prednisolone Tablet 20 mg</v>
      </c>
    </row>
    <row r="973" spans="2:27" x14ac:dyDescent="0.25">
      <c r="B973" s="1">
        <v>3.6</v>
      </c>
      <c r="C973" s="1" t="s">
        <v>361</v>
      </c>
      <c r="D973" s="1" t="s">
        <v>4</v>
      </c>
      <c r="E973" s="1" t="s">
        <v>1381</v>
      </c>
      <c r="G973" s="14">
        <v>0.44</v>
      </c>
      <c r="H973" s="1" t="s">
        <v>1622</v>
      </c>
      <c r="M973" t="s">
        <v>598</v>
      </c>
      <c r="AA973" t="str">
        <f t="shared" si="45"/>
        <v>Prednisolone Oral liquid   5 mg/5 mL (p)</v>
      </c>
    </row>
    <row r="974" spans="2:27" x14ac:dyDescent="0.25">
      <c r="B974" s="1">
        <v>3.6</v>
      </c>
      <c r="C974" s="1" t="s">
        <v>361</v>
      </c>
      <c r="D974" s="1" t="s">
        <v>4</v>
      </c>
      <c r="E974" s="1" t="s">
        <v>1382</v>
      </c>
      <c r="G974" s="14">
        <v>0.77</v>
      </c>
      <c r="H974" s="1" t="s">
        <v>1622</v>
      </c>
      <c r="M974" t="s">
        <v>598</v>
      </c>
      <c r="AA974" t="str">
        <f t="shared" si="45"/>
        <v>Prednisolone Oral liquid 15 mg/5 mL (p)</v>
      </c>
    </row>
    <row r="975" spans="2:27" x14ac:dyDescent="0.25">
      <c r="B975" s="1" t="s">
        <v>1383</v>
      </c>
      <c r="C975" s="1" t="s">
        <v>361</v>
      </c>
      <c r="D975" s="1" t="s">
        <v>19</v>
      </c>
      <c r="E975" s="1" t="s">
        <v>220</v>
      </c>
      <c r="G975" s="14">
        <v>1.07</v>
      </c>
      <c r="H975" s="14" t="s">
        <v>1626</v>
      </c>
      <c r="M975" t="s">
        <v>1668</v>
      </c>
      <c r="AA975" t="str">
        <f t="shared" si="45"/>
        <v>Prednisolone Tablet 10 mg</v>
      </c>
    </row>
    <row r="976" spans="2:27" x14ac:dyDescent="0.25">
      <c r="B976" s="1" t="s">
        <v>1383</v>
      </c>
      <c r="C976" s="1" t="s">
        <v>361</v>
      </c>
      <c r="D976" s="1" t="s">
        <v>19</v>
      </c>
      <c r="E976" s="1" t="s">
        <v>76</v>
      </c>
      <c r="G976" s="14">
        <v>2.14</v>
      </c>
      <c r="H976" s="14" t="s">
        <v>1626</v>
      </c>
      <c r="M976" t="s">
        <v>1668</v>
      </c>
      <c r="AA976" t="str">
        <f t="shared" si="45"/>
        <v>Prednisolone Tablet 20 mg</v>
      </c>
    </row>
    <row r="977" spans="2:27" x14ac:dyDescent="0.25">
      <c r="B977" s="1" t="s">
        <v>1383</v>
      </c>
      <c r="C977" s="1" t="s">
        <v>361</v>
      </c>
      <c r="D977" s="1" t="s">
        <v>19</v>
      </c>
      <c r="E977" s="1" t="s">
        <v>640</v>
      </c>
      <c r="G977" s="14">
        <v>3.04</v>
      </c>
      <c r="H977" s="1" t="s">
        <v>1622</v>
      </c>
      <c r="M977" t="s">
        <v>1668</v>
      </c>
      <c r="AA977" t="str">
        <f t="shared" si="45"/>
        <v>Prednisolone Tablet 40 mg</v>
      </c>
    </row>
    <row r="978" spans="2:27" x14ac:dyDescent="0.25">
      <c r="B978" s="1" t="s">
        <v>1383</v>
      </c>
      <c r="C978" s="1" t="s">
        <v>361</v>
      </c>
      <c r="D978" s="1" t="s">
        <v>19</v>
      </c>
      <c r="E978" s="1" t="s">
        <v>1384</v>
      </c>
      <c r="G978" s="14">
        <v>0.77</v>
      </c>
      <c r="H978" s="1" t="s">
        <v>1622</v>
      </c>
      <c r="M978" t="s">
        <v>1668</v>
      </c>
      <c r="AA978" t="str">
        <f t="shared" si="45"/>
        <v xml:space="preserve">Prednisolone Oral liquid 15 mg/5 mL (p) </v>
      </c>
    </row>
    <row r="979" spans="2:27" x14ac:dyDescent="0.25">
      <c r="B979" s="1" t="s">
        <v>1383</v>
      </c>
      <c r="C979" s="1" t="s">
        <v>361</v>
      </c>
      <c r="D979" s="1" t="s">
        <v>19</v>
      </c>
      <c r="E979" s="1" t="s">
        <v>1201</v>
      </c>
      <c r="G979" s="14">
        <v>0.44</v>
      </c>
      <c r="H979" s="1" t="s">
        <v>1622</v>
      </c>
      <c r="M979" t="s">
        <v>1668</v>
      </c>
      <c r="AA979" t="str">
        <f t="shared" si="45"/>
        <v xml:space="preserve">Prednisolone Oral liquid 5 mg/5 mL (p) </v>
      </c>
    </row>
    <row r="980" spans="2:27" x14ac:dyDescent="0.25">
      <c r="B980" s="1" t="s">
        <v>1383</v>
      </c>
      <c r="C980" s="1" t="s">
        <v>361</v>
      </c>
      <c r="D980" s="1" t="s">
        <v>19</v>
      </c>
      <c r="E980" s="1" t="s">
        <v>1385</v>
      </c>
      <c r="M980" t="s">
        <v>1668</v>
      </c>
      <c r="AA980" t="str">
        <f t="shared" si="45"/>
        <v>Prednisolone Injection 20 mg/2 mL</v>
      </c>
    </row>
    <row r="981" spans="2:27" x14ac:dyDescent="0.25">
      <c r="B981" s="1"/>
      <c r="C981" s="1"/>
      <c r="D981" s="1"/>
      <c r="E981" s="1"/>
      <c r="J981" t="s">
        <v>530</v>
      </c>
      <c r="K981" t="str">
        <f t="shared" ref="K981:K1030" si="46">C981&amp;" "&amp;E981</f>
        <v xml:space="preserve"> </v>
      </c>
      <c r="L981">
        <f t="shared" ref="L981:L1030" si="47">B981</f>
        <v>0</v>
      </c>
      <c r="AA981" t="str">
        <f t="shared" si="45"/>
        <v xml:space="preserve"> </v>
      </c>
    </row>
    <row r="982" spans="2:27" x14ac:dyDescent="0.25">
      <c r="B982" s="2" t="s">
        <v>1386</v>
      </c>
      <c r="C982" s="1"/>
      <c r="D982" s="1"/>
      <c r="E982" s="1"/>
      <c r="J982" t="s">
        <v>530</v>
      </c>
      <c r="K982" t="str">
        <f t="shared" si="46"/>
        <v xml:space="preserve"> </v>
      </c>
      <c r="L982" t="str">
        <f t="shared" si="47"/>
        <v>Section 19 Immunologicals</v>
      </c>
      <c r="AA982" t="str">
        <f t="shared" si="45"/>
        <v xml:space="preserve"> </v>
      </c>
    </row>
    <row r="983" spans="2:27" x14ac:dyDescent="0.25">
      <c r="B983" s="2" t="s">
        <v>1387</v>
      </c>
      <c r="C983" s="1"/>
      <c r="D983" s="1"/>
      <c r="E983" s="1"/>
      <c r="J983" t="s">
        <v>530</v>
      </c>
      <c r="K983" t="str">
        <f t="shared" si="46"/>
        <v xml:space="preserve"> </v>
      </c>
      <c r="L983" t="str">
        <f t="shared" si="47"/>
        <v>19.1-Diagnostic agents</v>
      </c>
      <c r="AA983" t="str">
        <f t="shared" si="45"/>
        <v xml:space="preserve"> </v>
      </c>
    </row>
    <row r="984" spans="2:27" x14ac:dyDescent="0.25">
      <c r="B984" s="1" t="s">
        <v>1388</v>
      </c>
      <c r="C984" s="1" t="s">
        <v>361</v>
      </c>
      <c r="D984" s="1" t="s">
        <v>4</v>
      </c>
      <c r="E984" s="1" t="s">
        <v>381</v>
      </c>
      <c r="G984" s="14">
        <v>0.61</v>
      </c>
      <c r="H984" s="14" t="s">
        <v>1626</v>
      </c>
      <c r="M984" t="s">
        <v>1675</v>
      </c>
      <c r="AA984" t="str">
        <f t="shared" si="45"/>
        <v>Prednisolone Tablet 5 mg</v>
      </c>
    </row>
    <row r="985" spans="2:27" x14ac:dyDescent="0.25">
      <c r="B985" s="1"/>
      <c r="C985" s="1"/>
      <c r="D985" s="1"/>
      <c r="E985" s="1"/>
      <c r="J985" t="s">
        <v>530</v>
      </c>
      <c r="K985" t="str">
        <f t="shared" si="46"/>
        <v xml:space="preserve"> </v>
      </c>
      <c r="L985">
        <f t="shared" si="47"/>
        <v>0</v>
      </c>
      <c r="AA985" t="str">
        <f t="shared" si="45"/>
        <v xml:space="preserve"> </v>
      </c>
    </row>
    <row r="986" spans="2:27" x14ac:dyDescent="0.25">
      <c r="B986" s="2" t="s">
        <v>1389</v>
      </c>
      <c r="C986" s="1"/>
      <c r="D986" s="1"/>
      <c r="E986" s="1"/>
      <c r="J986" t="s">
        <v>530</v>
      </c>
      <c r="K986" t="str">
        <f t="shared" si="46"/>
        <v xml:space="preserve"> </v>
      </c>
      <c r="L986" t="str">
        <f t="shared" si="47"/>
        <v>19.2-Sera and Immunoglobulins (Liquid/ Lyophilized)</v>
      </c>
      <c r="AA986" t="str">
        <f t="shared" si="45"/>
        <v xml:space="preserve"> </v>
      </c>
    </row>
    <row r="987" spans="2:27" x14ac:dyDescent="0.25">
      <c r="B987" s="1" t="s">
        <v>1388</v>
      </c>
      <c r="C987" s="1" t="s">
        <v>361</v>
      </c>
      <c r="D987" s="1" t="s">
        <v>4</v>
      </c>
      <c r="E987" s="1" t="s">
        <v>220</v>
      </c>
      <c r="G987" s="14">
        <v>1.07</v>
      </c>
      <c r="H987" s="14" t="s">
        <v>1626</v>
      </c>
      <c r="M987" t="s">
        <v>1675</v>
      </c>
      <c r="AA987" t="str">
        <f t="shared" si="45"/>
        <v>Prednisolone Tablet 10 mg</v>
      </c>
    </row>
    <row r="988" spans="2:27" x14ac:dyDescent="0.25">
      <c r="B988" s="1" t="s">
        <v>1388</v>
      </c>
      <c r="C988" s="1" t="s">
        <v>361</v>
      </c>
      <c r="D988" s="1" t="s">
        <v>4</v>
      </c>
      <c r="E988" s="1" t="s">
        <v>76</v>
      </c>
      <c r="G988" s="14">
        <v>2.14</v>
      </c>
      <c r="H988" s="14" t="s">
        <v>1626</v>
      </c>
      <c r="M988" t="s">
        <v>1675</v>
      </c>
      <c r="AA988" t="str">
        <f t="shared" si="45"/>
        <v>Prednisolone Tablet 20 mg</v>
      </c>
    </row>
    <row r="989" spans="2:27" x14ac:dyDescent="0.25">
      <c r="B989" s="1" t="s">
        <v>1388</v>
      </c>
      <c r="C989" s="1" t="s">
        <v>361</v>
      </c>
      <c r="D989" s="1" t="s">
        <v>4</v>
      </c>
      <c r="E989" s="1" t="s">
        <v>1390</v>
      </c>
      <c r="G989" s="14">
        <v>0.44</v>
      </c>
      <c r="H989" s="1" t="s">
        <v>1622</v>
      </c>
      <c r="M989" t="s">
        <v>1675</v>
      </c>
      <c r="AA989" t="str">
        <f t="shared" si="45"/>
        <v xml:space="preserve">Prednisolone Oral liquid   5 mg/5 mL (p) </v>
      </c>
    </row>
    <row r="990" spans="2:27" x14ac:dyDescent="0.25">
      <c r="B990" s="1" t="s">
        <v>1388</v>
      </c>
      <c r="C990" s="1" t="s">
        <v>361</v>
      </c>
      <c r="D990" s="1" t="s">
        <v>4</v>
      </c>
      <c r="E990" s="1" t="s">
        <v>1382</v>
      </c>
      <c r="G990" s="14">
        <v>0.77</v>
      </c>
      <c r="H990" s="1" t="s">
        <v>1622</v>
      </c>
      <c r="M990" t="s">
        <v>1675</v>
      </c>
      <c r="AA990" t="str">
        <f t="shared" si="45"/>
        <v>Prednisolone Oral liquid 15 mg/5 mL (p)</v>
      </c>
    </row>
    <row r="991" spans="2:27" x14ac:dyDescent="0.25">
      <c r="B991" s="1" t="s">
        <v>1391</v>
      </c>
      <c r="C991" s="1" t="s">
        <v>1392</v>
      </c>
      <c r="D991" s="1" t="s">
        <v>4</v>
      </c>
      <c r="E991" s="1" t="s">
        <v>801</v>
      </c>
      <c r="M991" t="s">
        <v>1670</v>
      </c>
      <c r="AA991" t="str">
        <f t="shared" si="45"/>
        <v>Prednisolone**** Drops 1 %</v>
      </c>
    </row>
    <row r="992" spans="2:27" x14ac:dyDescent="0.25">
      <c r="B992" s="1" t="s">
        <v>1393</v>
      </c>
      <c r="C992" s="1" t="s">
        <v>1394</v>
      </c>
      <c r="D992" s="1" t="s">
        <v>4</v>
      </c>
      <c r="E992" s="1" t="s">
        <v>582</v>
      </c>
      <c r="M992" t="s">
        <v>735</v>
      </c>
      <c r="AA992" t="str">
        <f t="shared" si="45"/>
        <v>Primaquine Tablet 2.5 mg</v>
      </c>
    </row>
    <row r="993" spans="2:27" x14ac:dyDescent="0.25">
      <c r="B993" s="1" t="s">
        <v>1393</v>
      </c>
      <c r="C993" s="1" t="s">
        <v>1394</v>
      </c>
      <c r="D993" s="1" t="s">
        <v>4</v>
      </c>
      <c r="E993" s="1" t="s">
        <v>305</v>
      </c>
      <c r="G993" s="14">
        <v>2.12</v>
      </c>
      <c r="H993" s="14" t="s">
        <v>1624</v>
      </c>
      <c r="M993" t="s">
        <v>735</v>
      </c>
      <c r="AA993" t="str">
        <f t="shared" si="45"/>
        <v>Primaquine Tablet 7.5 mg</v>
      </c>
    </row>
    <row r="994" spans="2:27" x14ac:dyDescent="0.25">
      <c r="B994" s="1" t="s">
        <v>1393</v>
      </c>
      <c r="C994" s="1" t="s">
        <v>1394</v>
      </c>
      <c r="D994" s="1" t="s">
        <v>4</v>
      </c>
      <c r="E994" s="1" t="s">
        <v>714</v>
      </c>
      <c r="G994" s="14">
        <v>4.58</v>
      </c>
      <c r="H994" s="14" t="s">
        <v>1626</v>
      </c>
      <c r="M994" t="s">
        <v>735</v>
      </c>
      <c r="AA994" t="str">
        <f t="shared" si="45"/>
        <v>Primaquine Tablet 15 mg</v>
      </c>
    </row>
    <row r="995" spans="2:27" x14ac:dyDescent="0.25">
      <c r="B995" s="1"/>
      <c r="C995" s="1"/>
      <c r="D995" s="1"/>
      <c r="E995" s="1"/>
      <c r="J995" t="s">
        <v>530</v>
      </c>
      <c r="K995" t="str">
        <f t="shared" si="46"/>
        <v xml:space="preserve"> </v>
      </c>
      <c r="L995">
        <f t="shared" si="47"/>
        <v>0</v>
      </c>
      <c r="AA995" t="str">
        <f t="shared" si="45"/>
        <v xml:space="preserve"> </v>
      </c>
    </row>
    <row r="996" spans="2:27" x14ac:dyDescent="0.25">
      <c r="B996" s="2" t="s">
        <v>1395</v>
      </c>
      <c r="C996" s="1"/>
      <c r="D996" s="1"/>
      <c r="E996" s="1"/>
      <c r="J996" t="s">
        <v>530</v>
      </c>
      <c r="K996" t="str">
        <f t="shared" si="46"/>
        <v xml:space="preserve"> </v>
      </c>
      <c r="L996" t="str">
        <f t="shared" si="47"/>
        <v>19.3-Vaccines</v>
      </c>
      <c r="AA996" t="str">
        <f t="shared" si="45"/>
        <v xml:space="preserve"> </v>
      </c>
    </row>
    <row r="997" spans="2:27" x14ac:dyDescent="0.25">
      <c r="B997" s="1" t="s">
        <v>1396</v>
      </c>
      <c r="C997" s="1" t="s">
        <v>1397</v>
      </c>
      <c r="D997" s="1" t="s">
        <v>4</v>
      </c>
      <c r="E997" s="1" t="s">
        <v>1398</v>
      </c>
      <c r="M997" t="s">
        <v>735</v>
      </c>
      <c r="N997" t="s">
        <v>1651</v>
      </c>
      <c r="O997" t="s">
        <v>1652</v>
      </c>
      <c r="AA997" t="str">
        <f t="shared" si="45"/>
        <v>Procaine Benzylpenicillin Powder for injection 1000 mg (=1 million IU)</v>
      </c>
    </row>
    <row r="998" spans="2:27" x14ac:dyDescent="0.25">
      <c r="B998" s="1" t="s">
        <v>366</v>
      </c>
      <c r="C998" s="1" t="s">
        <v>367</v>
      </c>
      <c r="D998" s="1" t="s">
        <v>19</v>
      </c>
      <c r="E998" s="1" t="s">
        <v>368</v>
      </c>
      <c r="G998" s="1">
        <v>9.14</v>
      </c>
      <c r="H998" s="1" t="s">
        <v>1622</v>
      </c>
      <c r="M998" t="s">
        <v>1684</v>
      </c>
      <c r="AA998" t="str">
        <f t="shared" si="45"/>
        <v>Proparacaine Eye Drops 0.5%</v>
      </c>
    </row>
    <row r="999" spans="2:27" x14ac:dyDescent="0.25">
      <c r="B999" s="1" t="s">
        <v>168</v>
      </c>
      <c r="C999" s="1" t="s">
        <v>367</v>
      </c>
      <c r="D999" s="1" t="s">
        <v>4</v>
      </c>
      <c r="E999" s="1" t="s">
        <v>1399</v>
      </c>
      <c r="M999" t="s">
        <v>1670</v>
      </c>
      <c r="AA999" t="str">
        <f t="shared" si="45"/>
        <v>Proparacaine Drops 0.5 %</v>
      </c>
    </row>
    <row r="1000" spans="2:27" x14ac:dyDescent="0.25">
      <c r="B1000" s="1" t="s">
        <v>1400</v>
      </c>
      <c r="C1000" s="1" t="s">
        <v>1401</v>
      </c>
      <c r="D1000" s="1" t="s">
        <v>4</v>
      </c>
      <c r="E1000" s="1" t="s">
        <v>643</v>
      </c>
      <c r="M1000" t="s">
        <v>1630</v>
      </c>
      <c r="N1000" t="s">
        <v>1631</v>
      </c>
      <c r="AA1000" t="str">
        <f t="shared" si="45"/>
        <v>Propofol Injection 10 mg/mL</v>
      </c>
    </row>
    <row r="1001" spans="2:27" x14ac:dyDescent="0.25">
      <c r="B1001" s="1" t="s">
        <v>372</v>
      </c>
      <c r="C1001" s="1" t="s">
        <v>373</v>
      </c>
      <c r="D1001" s="1" t="s">
        <v>4</v>
      </c>
      <c r="E1001" s="1" t="s">
        <v>220</v>
      </c>
      <c r="G1001" s="14">
        <v>1.17</v>
      </c>
      <c r="H1001" s="14" t="s">
        <v>1624</v>
      </c>
      <c r="M1001" t="s">
        <v>651</v>
      </c>
      <c r="N1001" t="s">
        <v>1644</v>
      </c>
      <c r="AA1001" t="str">
        <f t="shared" si="45"/>
        <v>Propranolol Tablet 10 mg</v>
      </c>
    </row>
    <row r="1002" spans="2:27" x14ac:dyDescent="0.25">
      <c r="B1002" s="1" t="s">
        <v>372</v>
      </c>
      <c r="C1002" s="1" t="s">
        <v>373</v>
      </c>
      <c r="D1002" s="1" t="s">
        <v>4</v>
      </c>
      <c r="E1002" s="1" t="s">
        <v>76</v>
      </c>
      <c r="G1002" s="14">
        <v>2.85</v>
      </c>
      <c r="H1002" s="14" t="s">
        <v>1619</v>
      </c>
      <c r="M1002" t="s">
        <v>651</v>
      </c>
      <c r="N1002" t="s">
        <v>1644</v>
      </c>
      <c r="AA1002" t="str">
        <f t="shared" si="45"/>
        <v>Propranolol Tablet 20 mg</v>
      </c>
    </row>
    <row r="1003" spans="2:27" x14ac:dyDescent="0.25">
      <c r="B1003" s="1" t="s">
        <v>372</v>
      </c>
      <c r="C1003" s="1" t="s">
        <v>373</v>
      </c>
      <c r="D1003" s="1" t="s">
        <v>4</v>
      </c>
      <c r="E1003" s="1" t="s">
        <v>640</v>
      </c>
      <c r="G1003" s="14">
        <v>2.87</v>
      </c>
      <c r="H1003" s="14" t="s">
        <v>1624</v>
      </c>
      <c r="M1003" t="s">
        <v>651</v>
      </c>
      <c r="N1003" t="s">
        <v>1644</v>
      </c>
      <c r="AA1003" t="str">
        <f t="shared" si="45"/>
        <v>Propranolol Tablet 40 mg</v>
      </c>
    </row>
    <row r="1004" spans="2:27" x14ac:dyDescent="0.25">
      <c r="B1004" s="1" t="s">
        <v>1402</v>
      </c>
      <c r="C1004" s="1" t="s">
        <v>1403</v>
      </c>
      <c r="D1004" s="1" t="s">
        <v>19</v>
      </c>
      <c r="E1004" s="1" t="s">
        <v>643</v>
      </c>
      <c r="AA1004" t="str">
        <f t="shared" si="45"/>
        <v>Protamine Sulphate Injection 10 mg/mL</v>
      </c>
    </row>
    <row r="1005" spans="2:27" x14ac:dyDescent="0.25">
      <c r="B1005" s="1" t="s">
        <v>1404</v>
      </c>
      <c r="C1005" s="1" t="s">
        <v>1405</v>
      </c>
      <c r="D1005" s="1" t="s">
        <v>4</v>
      </c>
      <c r="E1005" s="1" t="s">
        <v>85</v>
      </c>
      <c r="G1005" s="14">
        <v>4.3600000000000003</v>
      </c>
      <c r="H1005" s="14" t="s">
        <v>1624</v>
      </c>
      <c r="M1005" t="s">
        <v>735</v>
      </c>
      <c r="N1005" t="s">
        <v>1655</v>
      </c>
      <c r="AA1005" t="str">
        <f t="shared" si="45"/>
        <v>Pyrazinamide Tablet 500 mg</v>
      </c>
    </row>
    <row r="1006" spans="2:27" x14ac:dyDescent="0.25">
      <c r="B1006" s="1"/>
      <c r="C1006" s="1"/>
      <c r="D1006" s="1"/>
      <c r="E1006" s="1"/>
      <c r="J1006" t="s">
        <v>530</v>
      </c>
      <c r="K1006" t="str">
        <f t="shared" si="46"/>
        <v xml:space="preserve"> </v>
      </c>
      <c r="L1006">
        <f t="shared" si="47"/>
        <v>0</v>
      </c>
      <c r="AA1006" t="str">
        <f t="shared" si="45"/>
        <v xml:space="preserve"> </v>
      </c>
    </row>
    <row r="1007" spans="2:27" x14ac:dyDescent="0.25">
      <c r="B1007" s="2" t="s">
        <v>1406</v>
      </c>
      <c r="C1007" s="1"/>
      <c r="D1007" s="1"/>
      <c r="E1007" s="1"/>
      <c r="J1007" t="s">
        <v>530</v>
      </c>
      <c r="K1007" t="str">
        <f t="shared" si="46"/>
        <v xml:space="preserve"> </v>
      </c>
      <c r="L1007" t="str">
        <f t="shared" si="47"/>
        <v>19.4 - For Specific Group of Individuals</v>
      </c>
      <c r="AA1007" t="str">
        <f t="shared" si="45"/>
        <v xml:space="preserve"> </v>
      </c>
    </row>
    <row r="1008" spans="2:27" x14ac:dyDescent="0.25">
      <c r="B1008" s="1" t="s">
        <v>1404</v>
      </c>
      <c r="C1008" s="1" t="s">
        <v>1405</v>
      </c>
      <c r="D1008" s="1" t="s">
        <v>4</v>
      </c>
      <c r="E1008" s="1" t="s">
        <v>96</v>
      </c>
      <c r="G1008" s="14">
        <v>6.43</v>
      </c>
      <c r="H1008" s="14" t="s">
        <v>1624</v>
      </c>
      <c r="M1008" t="s">
        <v>735</v>
      </c>
      <c r="N1008" t="s">
        <v>1655</v>
      </c>
      <c r="AA1008" t="str">
        <f t="shared" si="45"/>
        <v>Pyrazinamide Tablet 750 mg</v>
      </c>
    </row>
    <row r="1009" spans="2:27" x14ac:dyDescent="0.25">
      <c r="B1009" s="1"/>
      <c r="C1009" s="1"/>
      <c r="D1009" s="1"/>
      <c r="E1009" s="1"/>
      <c r="J1009" t="s">
        <v>530</v>
      </c>
      <c r="K1009" t="str">
        <f t="shared" si="46"/>
        <v xml:space="preserve"> </v>
      </c>
      <c r="L1009">
        <f t="shared" si="47"/>
        <v>0</v>
      </c>
      <c r="AA1009" t="str">
        <f t="shared" si="45"/>
        <v xml:space="preserve"> </v>
      </c>
    </row>
    <row r="1010" spans="2:27" x14ac:dyDescent="0.25">
      <c r="B1010" s="2" t="s">
        <v>1407</v>
      </c>
      <c r="C1010" s="1"/>
      <c r="D1010" s="1"/>
      <c r="E1010" s="1"/>
      <c r="J1010" t="s">
        <v>530</v>
      </c>
      <c r="K1010" t="str">
        <f t="shared" si="46"/>
        <v xml:space="preserve"> </v>
      </c>
      <c r="L1010" t="str">
        <f t="shared" si="47"/>
        <v>Section 20 Medicines for Neonatal Care</v>
      </c>
      <c r="AA1010" t="str">
        <f t="shared" si="45"/>
        <v xml:space="preserve"> </v>
      </c>
    </row>
    <row r="1011" spans="2:27" x14ac:dyDescent="0.25">
      <c r="B1011" s="1" t="s">
        <v>1404</v>
      </c>
      <c r="C1011" s="1" t="s">
        <v>1405</v>
      </c>
      <c r="D1011" s="1" t="s">
        <v>4</v>
      </c>
      <c r="E1011" s="1" t="s">
        <v>38</v>
      </c>
      <c r="G1011" s="14">
        <v>9.39</v>
      </c>
      <c r="H1011" s="14" t="s">
        <v>1624</v>
      </c>
      <c r="M1011" t="s">
        <v>735</v>
      </c>
      <c r="N1011" t="s">
        <v>1655</v>
      </c>
      <c r="AA1011" t="str">
        <f t="shared" si="45"/>
        <v>Pyrazinamide Tablet 1000 mg</v>
      </c>
    </row>
    <row r="1012" spans="2:27" x14ac:dyDescent="0.25">
      <c r="B1012" s="1" t="s">
        <v>1404</v>
      </c>
      <c r="C1012" s="1" t="s">
        <v>1405</v>
      </c>
      <c r="D1012" s="1" t="s">
        <v>4</v>
      </c>
      <c r="E1012" s="1" t="s">
        <v>1408</v>
      </c>
      <c r="M1012" t="s">
        <v>735</v>
      </c>
      <c r="N1012" t="s">
        <v>1655</v>
      </c>
      <c r="AA1012" t="str">
        <f t="shared" si="45"/>
        <v>Pyrazinamide Tablet 1500 mg</v>
      </c>
    </row>
    <row r="1013" spans="2:27" x14ac:dyDescent="0.25">
      <c r="B1013" s="1" t="s">
        <v>1404</v>
      </c>
      <c r="C1013" s="1" t="s">
        <v>1405</v>
      </c>
      <c r="D1013" s="1" t="s">
        <v>4</v>
      </c>
      <c r="E1013" s="1" t="s">
        <v>1409</v>
      </c>
      <c r="M1013" t="s">
        <v>735</v>
      </c>
      <c r="N1013" t="s">
        <v>1655</v>
      </c>
      <c r="AA1013" t="str">
        <f t="shared" si="45"/>
        <v>Pyrazinamide Oral liquid 250 mg/5 mL (p)</v>
      </c>
    </row>
    <row r="1014" spans="2:27" x14ac:dyDescent="0.25">
      <c r="B1014" s="1">
        <v>26.5</v>
      </c>
      <c r="C1014" s="1" t="s">
        <v>1410</v>
      </c>
      <c r="D1014" s="1" t="s">
        <v>4</v>
      </c>
      <c r="E1014" s="1" t="s">
        <v>28</v>
      </c>
      <c r="AA1014" t="str">
        <f t="shared" si="45"/>
        <v>Pyridoxine Tablet 50 mg</v>
      </c>
    </row>
    <row r="1015" spans="2:27" x14ac:dyDescent="0.25">
      <c r="B1015" s="1"/>
      <c r="C1015" s="1"/>
      <c r="D1015" s="1"/>
      <c r="E1015" s="1"/>
      <c r="J1015" t="s">
        <v>530</v>
      </c>
      <c r="K1015" t="str">
        <f t="shared" si="46"/>
        <v xml:space="preserve"> </v>
      </c>
      <c r="L1015">
        <f t="shared" si="47"/>
        <v>0</v>
      </c>
      <c r="AA1015" t="str">
        <f t="shared" si="45"/>
        <v xml:space="preserve"> </v>
      </c>
    </row>
    <row r="1016" spans="2:27" x14ac:dyDescent="0.25">
      <c r="B1016" s="2" t="s">
        <v>1411</v>
      </c>
      <c r="C1016" s="1"/>
      <c r="D1016" s="1"/>
      <c r="E1016" s="1"/>
      <c r="J1016" t="s">
        <v>530</v>
      </c>
      <c r="K1016" t="str">
        <f t="shared" si="46"/>
        <v xml:space="preserve"> </v>
      </c>
      <c r="L1016" t="str">
        <f t="shared" si="47"/>
        <v>Section 21 Ophthalmological Medicines</v>
      </c>
      <c r="AA1016" t="str">
        <f t="shared" si="45"/>
        <v xml:space="preserve"> </v>
      </c>
    </row>
    <row r="1017" spans="2:27" x14ac:dyDescent="0.25">
      <c r="B1017" s="2" t="s">
        <v>1412</v>
      </c>
      <c r="C1017" s="1"/>
      <c r="D1017" s="1"/>
      <c r="E1017" s="1"/>
      <c r="J1017" t="s">
        <v>530</v>
      </c>
      <c r="K1017" t="str">
        <f t="shared" si="46"/>
        <v xml:space="preserve"> </v>
      </c>
      <c r="L1017" t="str">
        <f t="shared" si="47"/>
        <v>21.1-Anti-infective Medicines</v>
      </c>
      <c r="AA1017" t="str">
        <f t="shared" si="45"/>
        <v xml:space="preserve"> </v>
      </c>
    </row>
    <row r="1018" spans="2:27" x14ac:dyDescent="0.25">
      <c r="B1018" s="1">
        <v>26.5</v>
      </c>
      <c r="C1018" s="1" t="s">
        <v>1410</v>
      </c>
      <c r="D1018" s="1" t="s">
        <v>4</v>
      </c>
      <c r="E1018" s="1" t="s">
        <v>29</v>
      </c>
      <c r="G1018" s="14">
        <v>5.33</v>
      </c>
      <c r="H1018" s="14" t="s">
        <v>1626</v>
      </c>
      <c r="M1018" t="s">
        <v>1676</v>
      </c>
      <c r="AA1018" t="str">
        <f t="shared" si="45"/>
        <v>Pyridoxine Tablet 100 mg</v>
      </c>
    </row>
    <row r="1019" spans="2:27" x14ac:dyDescent="0.25">
      <c r="B1019" s="1">
        <v>26.5</v>
      </c>
      <c r="C1019" s="1" t="s">
        <v>1410</v>
      </c>
      <c r="D1019" s="1" t="s">
        <v>4</v>
      </c>
      <c r="E1019" s="1" t="s">
        <v>220</v>
      </c>
      <c r="M1019" t="s">
        <v>1676</v>
      </c>
      <c r="AA1019" t="str">
        <f t="shared" si="45"/>
        <v>Pyridoxine Tablet 10 mg</v>
      </c>
    </row>
    <row r="1020" spans="2:27" x14ac:dyDescent="0.25">
      <c r="B1020" s="1" t="s">
        <v>1413</v>
      </c>
      <c r="C1020" s="1" t="s">
        <v>1414</v>
      </c>
      <c r="D1020" s="1" t="s">
        <v>4</v>
      </c>
      <c r="E1020" s="1" t="s">
        <v>278</v>
      </c>
      <c r="G1020" s="14">
        <v>5.04</v>
      </c>
      <c r="H1020" s="14" t="s">
        <v>1624</v>
      </c>
      <c r="M1020" t="s">
        <v>735</v>
      </c>
      <c r="AA1020" t="str">
        <f t="shared" si="45"/>
        <v>Quinine Tablet 300 mg</v>
      </c>
    </row>
    <row r="1021" spans="2:27" x14ac:dyDescent="0.25">
      <c r="B1021" s="1" t="s">
        <v>1413</v>
      </c>
      <c r="C1021" s="1" t="s">
        <v>1414</v>
      </c>
      <c r="D1021" s="1" t="s">
        <v>4</v>
      </c>
      <c r="E1021" s="1" t="s">
        <v>1415</v>
      </c>
      <c r="M1021" t="s">
        <v>735</v>
      </c>
      <c r="AA1021" t="str">
        <f t="shared" si="45"/>
        <v>Quinine Injection 300 mg/mL</v>
      </c>
    </row>
    <row r="1022" spans="2:27" x14ac:dyDescent="0.25">
      <c r="B1022" s="1" t="s">
        <v>1416</v>
      </c>
      <c r="C1022" s="1" t="s">
        <v>1417</v>
      </c>
      <c r="D1022" s="1" t="s">
        <v>4</v>
      </c>
      <c r="E1022" s="1" t="s">
        <v>391</v>
      </c>
      <c r="AA1022" t="str">
        <f t="shared" si="45"/>
        <v>Rabies vaccine As licensed</v>
      </c>
    </row>
    <row r="1023" spans="2:27" x14ac:dyDescent="0.25">
      <c r="B1023" s="1"/>
      <c r="C1023" s="1"/>
      <c r="D1023" s="1"/>
      <c r="E1023" s="1"/>
      <c r="J1023" t="s">
        <v>530</v>
      </c>
      <c r="K1023" t="str">
        <f t="shared" si="46"/>
        <v xml:space="preserve"> </v>
      </c>
      <c r="L1023">
        <f t="shared" si="47"/>
        <v>0</v>
      </c>
      <c r="AA1023" t="str">
        <f t="shared" si="45"/>
        <v xml:space="preserve"> </v>
      </c>
    </row>
    <row r="1024" spans="2:27" x14ac:dyDescent="0.25">
      <c r="B1024" s="2" t="s">
        <v>1418</v>
      </c>
      <c r="C1024" s="1"/>
      <c r="D1024" s="1"/>
      <c r="E1024" s="1"/>
      <c r="J1024" t="s">
        <v>530</v>
      </c>
      <c r="K1024" t="str">
        <f t="shared" si="46"/>
        <v xml:space="preserve"> </v>
      </c>
      <c r="L1024" t="str">
        <f t="shared" si="47"/>
        <v>21.2-Antiinflammatory Medicine</v>
      </c>
      <c r="AA1024" t="str">
        <f t="shared" si="45"/>
        <v xml:space="preserve"> </v>
      </c>
    </row>
    <row r="1025" spans="2:27" x14ac:dyDescent="0.25">
      <c r="B1025" s="1" t="s">
        <v>1419</v>
      </c>
      <c r="C1025" s="1" t="s">
        <v>1420</v>
      </c>
      <c r="D1025" s="1" t="s">
        <v>19</v>
      </c>
      <c r="E1025" s="1" t="s">
        <v>511</v>
      </c>
      <c r="G1025" s="10">
        <v>131.81</v>
      </c>
      <c r="H1025" s="13" t="s">
        <v>1617</v>
      </c>
      <c r="I1025" s="13" t="s">
        <v>1618</v>
      </c>
      <c r="M1025" t="s">
        <v>735</v>
      </c>
      <c r="N1025" t="s">
        <v>1658</v>
      </c>
      <c r="O1025" t="s">
        <v>1661</v>
      </c>
      <c r="AA1025" t="str">
        <f t="shared" si="45"/>
        <v>Raltegravir Tablet 400 mg</v>
      </c>
    </row>
    <row r="1026" spans="2:27" x14ac:dyDescent="0.25">
      <c r="B1026" s="1"/>
      <c r="C1026" s="1"/>
      <c r="D1026" s="1"/>
      <c r="E1026" s="1"/>
      <c r="J1026" t="s">
        <v>530</v>
      </c>
      <c r="K1026" t="str">
        <f t="shared" si="46"/>
        <v xml:space="preserve"> </v>
      </c>
      <c r="L1026">
        <f t="shared" si="47"/>
        <v>0</v>
      </c>
      <c r="AA1026" t="str">
        <f t="shared" si="45"/>
        <v xml:space="preserve"> </v>
      </c>
    </row>
    <row r="1027" spans="2:27" x14ac:dyDescent="0.25">
      <c r="B1027" s="2" t="s">
        <v>1421</v>
      </c>
      <c r="C1027" s="1"/>
      <c r="D1027" s="1"/>
      <c r="E1027" s="1"/>
      <c r="J1027" t="s">
        <v>530</v>
      </c>
      <c r="K1027" t="str">
        <f t="shared" si="46"/>
        <v xml:space="preserve"> </v>
      </c>
      <c r="L1027" t="str">
        <f t="shared" si="47"/>
        <v>21.3- Local Anaesthetic</v>
      </c>
      <c r="AA1027" t="str">
        <f t="shared" si="45"/>
        <v xml:space="preserve"> </v>
      </c>
    </row>
    <row r="1028" spans="2:27" x14ac:dyDescent="0.25">
      <c r="B1028" s="1" t="s">
        <v>1422</v>
      </c>
      <c r="C1028" s="1" t="s">
        <v>1423</v>
      </c>
      <c r="D1028" s="1" t="s">
        <v>4</v>
      </c>
      <c r="E1028" s="1" t="s">
        <v>582</v>
      </c>
      <c r="G1028" s="10">
        <v>4.6500000000000004</v>
      </c>
      <c r="H1028" s="13" t="s">
        <v>1617</v>
      </c>
      <c r="I1028" s="13" t="s">
        <v>1618</v>
      </c>
      <c r="M1028" t="s">
        <v>1667</v>
      </c>
      <c r="AA1028" t="str">
        <f t="shared" si="45"/>
        <v>Ramipril Tablet 2.5 mg</v>
      </c>
    </row>
    <row r="1029" spans="2:27" x14ac:dyDescent="0.25">
      <c r="B1029" s="1"/>
      <c r="C1029" s="1"/>
      <c r="D1029" s="1"/>
      <c r="E1029" s="1"/>
      <c r="J1029" t="s">
        <v>530</v>
      </c>
      <c r="K1029" t="str">
        <f t="shared" si="46"/>
        <v xml:space="preserve"> </v>
      </c>
      <c r="L1029">
        <f t="shared" si="47"/>
        <v>0</v>
      </c>
      <c r="AA1029" t="str">
        <f t="shared" si="45"/>
        <v xml:space="preserve"> </v>
      </c>
    </row>
    <row r="1030" spans="2:27" x14ac:dyDescent="0.25">
      <c r="B1030" s="2" t="s">
        <v>1424</v>
      </c>
      <c r="C1030" s="1"/>
      <c r="D1030" s="1"/>
      <c r="E1030" s="1"/>
      <c r="J1030" t="s">
        <v>530</v>
      </c>
      <c r="K1030" t="str">
        <f t="shared" si="46"/>
        <v xml:space="preserve"> </v>
      </c>
      <c r="L1030" t="str">
        <f t="shared" si="47"/>
        <v>21.4-Miotics and Antiglaucoma Medicines</v>
      </c>
      <c r="AA1030" t="str">
        <f t="shared" si="45"/>
        <v xml:space="preserve"> </v>
      </c>
    </row>
    <row r="1031" spans="2:27" x14ac:dyDescent="0.25">
      <c r="B1031" s="1" t="s">
        <v>1422</v>
      </c>
      <c r="C1031" s="1" t="s">
        <v>1423</v>
      </c>
      <c r="D1031" s="1" t="s">
        <v>4</v>
      </c>
      <c r="E1031" s="1" t="s">
        <v>381</v>
      </c>
      <c r="G1031" s="10">
        <v>7.3</v>
      </c>
      <c r="H1031" s="13" t="s">
        <v>1617</v>
      </c>
      <c r="I1031" s="13" t="s">
        <v>1618</v>
      </c>
      <c r="M1031" t="s">
        <v>1667</v>
      </c>
      <c r="AA1031" t="str">
        <f t="shared" si="45"/>
        <v>Ramipril Tablet 5 mg</v>
      </c>
    </row>
    <row r="1032" spans="2:27" x14ac:dyDescent="0.25">
      <c r="B1032" s="1" t="s">
        <v>1425</v>
      </c>
      <c r="C1032" s="1" t="s">
        <v>1426</v>
      </c>
      <c r="D1032" s="1" t="s">
        <v>19</v>
      </c>
      <c r="E1032" s="1" t="s">
        <v>391</v>
      </c>
      <c r="AA1032" t="str">
        <f t="shared" si="45"/>
        <v>Red blood cells/ Packed RBCs As licensed</v>
      </c>
    </row>
    <row r="1033" spans="2:27" x14ac:dyDescent="0.25">
      <c r="B1033" s="1" t="s">
        <v>1427</v>
      </c>
      <c r="C1033" s="1" t="s">
        <v>1428</v>
      </c>
      <c r="D1033" s="1" t="s">
        <v>19</v>
      </c>
      <c r="E1033" s="1" t="s">
        <v>238</v>
      </c>
      <c r="G1033" s="14">
        <v>23.63</v>
      </c>
      <c r="H1033" s="1" t="s">
        <v>1622</v>
      </c>
      <c r="M1033" t="s">
        <v>735</v>
      </c>
      <c r="N1033" t="s">
        <v>1665</v>
      </c>
      <c r="AA1033" t="str">
        <f t="shared" ref="AA1033:AA1096" si="48">C1033&amp;" "&amp;E1033</f>
        <v>Ribavirin Capsule 200 mg</v>
      </c>
    </row>
    <row r="1034" spans="2:27" x14ac:dyDescent="0.25">
      <c r="B1034" s="1">
        <v>26.6</v>
      </c>
      <c r="C1034" s="1" t="s">
        <v>380</v>
      </c>
      <c r="D1034" s="1" t="s">
        <v>4</v>
      </c>
      <c r="E1034" s="1" t="s">
        <v>220</v>
      </c>
      <c r="AA1034" t="str">
        <f t="shared" si="48"/>
        <v>Riboflavin Tablet 10 mg</v>
      </c>
    </row>
    <row r="1035" spans="2:27" x14ac:dyDescent="0.25">
      <c r="B1035" s="1" t="s">
        <v>1429</v>
      </c>
      <c r="C1035" s="1" t="s">
        <v>1430</v>
      </c>
      <c r="D1035" s="1" t="s">
        <v>4</v>
      </c>
      <c r="E1035" s="1" t="s">
        <v>384</v>
      </c>
      <c r="G1035" s="14">
        <v>2.04</v>
      </c>
      <c r="H1035" s="1" t="s">
        <v>1622</v>
      </c>
      <c r="M1035" t="s">
        <v>735</v>
      </c>
      <c r="N1035" t="s">
        <v>1655</v>
      </c>
      <c r="AA1035" t="str">
        <f t="shared" si="48"/>
        <v>Rifampicin Capsule 150 mg</v>
      </c>
    </row>
    <row r="1036" spans="2:27" x14ac:dyDescent="0.25">
      <c r="B1036" s="1" t="s">
        <v>1429</v>
      </c>
      <c r="C1036" s="1" t="s">
        <v>1430</v>
      </c>
      <c r="D1036" s="1" t="s">
        <v>4</v>
      </c>
      <c r="E1036" s="1" t="s">
        <v>777</v>
      </c>
      <c r="G1036" s="14">
        <v>4.1100000000000003</v>
      </c>
      <c r="H1036" s="1" t="s">
        <v>1622</v>
      </c>
      <c r="M1036" t="s">
        <v>735</v>
      </c>
      <c r="N1036" t="s">
        <v>1655</v>
      </c>
      <c r="AA1036" t="str">
        <f t="shared" si="48"/>
        <v>Rifampicin Capsule 300 mg</v>
      </c>
    </row>
    <row r="1037" spans="2:27" x14ac:dyDescent="0.25">
      <c r="B1037" s="1"/>
      <c r="C1037" s="1"/>
      <c r="D1037" s="1"/>
      <c r="E1037" s="1"/>
      <c r="J1037" t="s">
        <v>530</v>
      </c>
      <c r="K1037" t="str">
        <f t="shared" ref="K1037:K1087" si="49">C1037&amp;" "&amp;E1037</f>
        <v xml:space="preserve"> </v>
      </c>
      <c r="L1037">
        <f t="shared" ref="L1037:L1087" si="50">B1037</f>
        <v>0</v>
      </c>
      <c r="AA1037" t="str">
        <f t="shared" si="48"/>
        <v xml:space="preserve"> </v>
      </c>
    </row>
    <row r="1038" spans="2:27" x14ac:dyDescent="0.25">
      <c r="B1038" s="2" t="s">
        <v>1431</v>
      </c>
      <c r="C1038" s="1"/>
      <c r="D1038" s="1"/>
      <c r="E1038" s="1"/>
      <c r="J1038" t="s">
        <v>530</v>
      </c>
      <c r="K1038" t="str">
        <f t="shared" si="49"/>
        <v xml:space="preserve"> </v>
      </c>
      <c r="L1038" t="str">
        <f t="shared" si="50"/>
        <v>21.5-Mydriatics</v>
      </c>
      <c r="AA1038" t="str">
        <f t="shared" si="48"/>
        <v xml:space="preserve"> </v>
      </c>
    </row>
    <row r="1039" spans="2:27" x14ac:dyDescent="0.25">
      <c r="B1039" s="1" t="s">
        <v>1429</v>
      </c>
      <c r="C1039" s="1" t="s">
        <v>1430</v>
      </c>
      <c r="D1039" s="1" t="s">
        <v>4</v>
      </c>
      <c r="E1039" s="1" t="s">
        <v>1432</v>
      </c>
      <c r="G1039" s="14">
        <v>5.0599999999999996</v>
      </c>
      <c r="H1039" s="14" t="s">
        <v>1624</v>
      </c>
      <c r="M1039" t="s">
        <v>735</v>
      </c>
      <c r="N1039" t="s">
        <v>1655</v>
      </c>
      <c r="AA1039" t="str">
        <f t="shared" si="48"/>
        <v>Rifampicin Capsule 450 mg</v>
      </c>
    </row>
    <row r="1040" spans="2:27" x14ac:dyDescent="0.25">
      <c r="B1040" s="1" t="s">
        <v>1429</v>
      </c>
      <c r="C1040" s="1" t="s">
        <v>1430</v>
      </c>
      <c r="D1040" s="1" t="s">
        <v>4</v>
      </c>
      <c r="E1040" s="1" t="s">
        <v>1433</v>
      </c>
      <c r="G1040" s="10">
        <v>10.130000000000001</v>
      </c>
      <c r="H1040" s="13" t="s">
        <v>1617</v>
      </c>
      <c r="I1040" s="13" t="s">
        <v>1618</v>
      </c>
      <c r="M1040" t="s">
        <v>735</v>
      </c>
      <c r="N1040" t="s">
        <v>1655</v>
      </c>
      <c r="AA1040" t="str">
        <f t="shared" si="48"/>
        <v>Rifampicin Capsule 600 mg</v>
      </c>
    </row>
    <row r="1041" spans="2:27" x14ac:dyDescent="0.25">
      <c r="B1041" s="1" t="s">
        <v>1429</v>
      </c>
      <c r="C1041" s="1" t="s">
        <v>1430</v>
      </c>
      <c r="D1041" s="1" t="s">
        <v>4</v>
      </c>
      <c r="E1041" s="1" t="s">
        <v>1434</v>
      </c>
      <c r="M1041" t="s">
        <v>735</v>
      </c>
      <c r="N1041" t="s">
        <v>1655</v>
      </c>
      <c r="AA1041" t="str">
        <f t="shared" si="48"/>
        <v>Rifampicin Oral liquid 100 mg/ 5 mL (p)</v>
      </c>
    </row>
    <row r="1042" spans="2:27" x14ac:dyDescent="0.25">
      <c r="B1042" s="1" t="s">
        <v>1435</v>
      </c>
      <c r="C1042" s="1" t="s">
        <v>1436</v>
      </c>
      <c r="D1042" s="1" t="s">
        <v>4</v>
      </c>
      <c r="E1042" s="1" t="s">
        <v>777</v>
      </c>
      <c r="G1042" s="14">
        <v>4.1100000000000003</v>
      </c>
      <c r="H1042" s="1" t="s">
        <v>1622</v>
      </c>
      <c r="M1042" t="s">
        <v>735</v>
      </c>
      <c r="N1042" t="s">
        <v>1654</v>
      </c>
      <c r="AA1042" t="str">
        <f t="shared" si="48"/>
        <v>Rifampicin** Capsule 300 mg</v>
      </c>
    </row>
    <row r="1043" spans="2:27" x14ac:dyDescent="0.25">
      <c r="B1043" s="1" t="s">
        <v>1435</v>
      </c>
      <c r="C1043" s="1" t="s">
        <v>1436</v>
      </c>
      <c r="D1043" s="1" t="s">
        <v>4</v>
      </c>
      <c r="E1043" s="1" t="s">
        <v>384</v>
      </c>
      <c r="G1043" s="14">
        <v>2.04</v>
      </c>
      <c r="H1043" s="1" t="s">
        <v>1622</v>
      </c>
      <c r="M1043" t="s">
        <v>735</v>
      </c>
      <c r="N1043" t="s">
        <v>1654</v>
      </c>
      <c r="AA1043" t="str">
        <f t="shared" si="48"/>
        <v>Rifampicin** Capsule 150 mg</v>
      </c>
    </row>
    <row r="1044" spans="2:27" x14ac:dyDescent="0.25">
      <c r="B1044" s="1" t="s">
        <v>1437</v>
      </c>
      <c r="C1044" s="1" t="s">
        <v>1438</v>
      </c>
      <c r="D1044" s="1" t="s">
        <v>4</v>
      </c>
      <c r="E1044" s="1" t="s">
        <v>1439</v>
      </c>
      <c r="AA1044" t="str">
        <f t="shared" si="48"/>
        <v>Ringer lactate Injection (as per IP)</v>
      </c>
    </row>
    <row r="1045" spans="2:27" x14ac:dyDescent="0.25">
      <c r="B1045" s="1"/>
      <c r="C1045" s="1"/>
      <c r="D1045" s="1"/>
      <c r="E1045" s="1"/>
      <c r="J1045" t="s">
        <v>530</v>
      </c>
      <c r="K1045" t="str">
        <f t="shared" si="49"/>
        <v xml:space="preserve"> </v>
      </c>
      <c r="L1045">
        <f t="shared" si="50"/>
        <v>0</v>
      </c>
      <c r="AA1045" t="str">
        <f t="shared" si="48"/>
        <v xml:space="preserve"> </v>
      </c>
    </row>
    <row r="1046" spans="2:27" x14ac:dyDescent="0.25">
      <c r="B1046" s="2" t="s">
        <v>1440</v>
      </c>
      <c r="C1046" s="1"/>
      <c r="D1046" s="1"/>
      <c r="E1046" s="1"/>
      <c r="J1046" t="s">
        <v>530</v>
      </c>
      <c r="K1046" t="str">
        <f t="shared" si="49"/>
        <v xml:space="preserve"> </v>
      </c>
      <c r="L1046" t="str">
        <f t="shared" si="50"/>
        <v>21.6-Miscellaneous</v>
      </c>
      <c r="AA1046" t="str">
        <f t="shared" si="48"/>
        <v xml:space="preserve"> </v>
      </c>
    </row>
    <row r="1047" spans="2:27" x14ac:dyDescent="0.25">
      <c r="B1047" s="1" t="s">
        <v>385</v>
      </c>
      <c r="C1047" s="1" t="s">
        <v>386</v>
      </c>
      <c r="D1047" s="1" t="s">
        <v>4</v>
      </c>
      <c r="E1047" s="1" t="s">
        <v>196</v>
      </c>
      <c r="G1047" s="10">
        <v>2.66</v>
      </c>
      <c r="H1047" s="13" t="s">
        <v>1617</v>
      </c>
      <c r="I1047" s="13" t="s">
        <v>1618</v>
      </c>
      <c r="M1047" t="s">
        <v>1669</v>
      </c>
      <c r="AA1047" t="str">
        <f t="shared" si="48"/>
        <v>Risperidone Tablet 1 mg</v>
      </c>
    </row>
    <row r="1048" spans="2:27" x14ac:dyDescent="0.25">
      <c r="B1048" s="1" t="s">
        <v>385</v>
      </c>
      <c r="C1048" s="1" t="s">
        <v>386</v>
      </c>
      <c r="D1048" s="1" t="s">
        <v>4</v>
      </c>
      <c r="E1048" s="1" t="s">
        <v>140</v>
      </c>
      <c r="G1048" s="10">
        <v>4</v>
      </c>
      <c r="H1048" s="13" t="s">
        <v>1617</v>
      </c>
      <c r="I1048" s="13" t="s">
        <v>1618</v>
      </c>
      <c r="M1048" t="s">
        <v>1669</v>
      </c>
      <c r="AA1048" t="str">
        <f t="shared" si="48"/>
        <v>Risperidone Tablet 2 mg</v>
      </c>
    </row>
    <row r="1049" spans="2:27" x14ac:dyDescent="0.25">
      <c r="B1049" s="1" t="s">
        <v>385</v>
      </c>
      <c r="C1049" s="1" t="s">
        <v>386</v>
      </c>
      <c r="D1049" s="1" t="s">
        <v>4</v>
      </c>
      <c r="E1049" s="1" t="s">
        <v>851</v>
      </c>
      <c r="G1049" s="10">
        <v>6.56</v>
      </c>
      <c r="H1049" s="13" t="s">
        <v>1617</v>
      </c>
      <c r="I1049" s="13" t="s">
        <v>1618</v>
      </c>
      <c r="M1049" t="s">
        <v>1669</v>
      </c>
      <c r="AA1049" t="str">
        <f t="shared" si="48"/>
        <v>Risperidone Tablet 4 mg</v>
      </c>
    </row>
    <row r="1050" spans="2:27" x14ac:dyDescent="0.25">
      <c r="B1050" s="1"/>
      <c r="C1050" s="1"/>
      <c r="D1050" s="1"/>
      <c r="E1050" s="1"/>
      <c r="J1050" t="s">
        <v>530</v>
      </c>
      <c r="K1050" t="str">
        <f t="shared" si="49"/>
        <v xml:space="preserve"> </v>
      </c>
      <c r="L1050">
        <f t="shared" si="50"/>
        <v>0</v>
      </c>
      <c r="AA1050" t="str">
        <f t="shared" si="48"/>
        <v xml:space="preserve"> </v>
      </c>
    </row>
    <row r="1051" spans="2:27" x14ac:dyDescent="0.25">
      <c r="B1051" s="2" t="s">
        <v>1441</v>
      </c>
      <c r="C1051" s="1"/>
      <c r="D1051" s="1"/>
      <c r="E1051" s="1"/>
      <c r="J1051" t="s">
        <v>530</v>
      </c>
      <c r="K1051" t="str">
        <f t="shared" si="49"/>
        <v xml:space="preserve"> </v>
      </c>
      <c r="L1051" t="str">
        <f t="shared" si="50"/>
        <v>Section 22 Oxytocics and Antioxytocics</v>
      </c>
      <c r="AA1051" t="str">
        <f t="shared" si="48"/>
        <v xml:space="preserve"> </v>
      </c>
    </row>
    <row r="1052" spans="2:27" x14ac:dyDescent="0.25">
      <c r="B1052" s="2" t="s">
        <v>1442</v>
      </c>
      <c r="C1052" s="1"/>
      <c r="D1052" s="1"/>
      <c r="E1052" s="1"/>
      <c r="J1052" t="s">
        <v>530</v>
      </c>
      <c r="K1052" t="str">
        <f t="shared" si="49"/>
        <v xml:space="preserve"> </v>
      </c>
      <c r="L1052" t="str">
        <f t="shared" si="50"/>
        <v>22.1 - Oxytocics and Abortifacient</v>
      </c>
      <c r="AA1052" t="str">
        <f t="shared" si="48"/>
        <v xml:space="preserve"> </v>
      </c>
    </row>
    <row r="1053" spans="2:27" x14ac:dyDescent="0.25">
      <c r="B1053" s="1" t="s">
        <v>385</v>
      </c>
      <c r="C1053" s="1" t="s">
        <v>386</v>
      </c>
      <c r="D1053" s="1" t="s">
        <v>4</v>
      </c>
      <c r="E1053" s="1" t="s">
        <v>1443</v>
      </c>
      <c r="G1053" s="14">
        <v>1.97</v>
      </c>
      <c r="H1053" s="1" t="s">
        <v>1622</v>
      </c>
      <c r="M1053" t="s">
        <v>1669</v>
      </c>
      <c r="AA1053" t="str">
        <f t="shared" si="48"/>
        <v xml:space="preserve">Risperidone Oral liquid 1 mg/mL </v>
      </c>
    </row>
    <row r="1054" spans="2:27" x14ac:dyDescent="0.25">
      <c r="B1054" s="1" t="s">
        <v>385</v>
      </c>
      <c r="C1054" s="1" t="s">
        <v>386</v>
      </c>
      <c r="D1054" s="1" t="s">
        <v>4</v>
      </c>
      <c r="E1054" s="1" t="s">
        <v>387</v>
      </c>
      <c r="M1054" t="s">
        <v>1669</v>
      </c>
      <c r="AA1054" t="str">
        <f t="shared" si="48"/>
        <v>Risperidone Injection (Long acting) 25 mg</v>
      </c>
    </row>
    <row r="1055" spans="2:27" x14ac:dyDescent="0.25">
      <c r="B1055" s="1" t="s">
        <v>385</v>
      </c>
      <c r="C1055" s="1" t="s">
        <v>386</v>
      </c>
      <c r="D1055" s="1" t="s">
        <v>4</v>
      </c>
      <c r="E1055" s="1" t="s">
        <v>388</v>
      </c>
      <c r="M1055" t="s">
        <v>1669</v>
      </c>
      <c r="AA1055" t="str">
        <f t="shared" si="48"/>
        <v>Risperidone Injection (Long acting) 37.5 mg</v>
      </c>
    </row>
    <row r="1056" spans="2:27" x14ac:dyDescent="0.25">
      <c r="B1056" s="1" t="s">
        <v>1444</v>
      </c>
      <c r="C1056" s="1" t="s">
        <v>1445</v>
      </c>
      <c r="D1056" s="1" t="s">
        <v>19</v>
      </c>
      <c r="E1056" s="1" t="s">
        <v>29</v>
      </c>
      <c r="G1056" s="14">
        <v>26.05</v>
      </c>
      <c r="H1056" s="14" t="s">
        <v>1626</v>
      </c>
      <c r="M1056" t="s">
        <v>735</v>
      </c>
      <c r="N1056" t="s">
        <v>1658</v>
      </c>
      <c r="O1056" t="s">
        <v>1662</v>
      </c>
      <c r="AA1056" t="str">
        <f t="shared" si="48"/>
        <v>Ritonavir Tablet 100 mg</v>
      </c>
    </row>
    <row r="1057" spans="2:27" x14ac:dyDescent="0.25">
      <c r="B1057" s="1" t="s">
        <v>1446</v>
      </c>
      <c r="C1057" s="1" t="s">
        <v>1447</v>
      </c>
      <c r="D1057" s="1" t="s">
        <v>8</v>
      </c>
      <c r="E1057" s="1" t="s">
        <v>643</v>
      </c>
      <c r="G1057" s="14">
        <v>679.41</v>
      </c>
      <c r="H1057" s="14" t="s">
        <v>1626</v>
      </c>
      <c r="AA1057" t="str">
        <f t="shared" si="48"/>
        <v>Rituximab Injection 10 mg/mL</v>
      </c>
    </row>
    <row r="1058" spans="2:27" x14ac:dyDescent="0.25">
      <c r="B1058" s="1" t="s">
        <v>389</v>
      </c>
      <c r="C1058" s="1" t="s">
        <v>390</v>
      </c>
      <c r="D1058" s="1" t="s">
        <v>4</v>
      </c>
      <c r="E1058" s="1" t="s">
        <v>391</v>
      </c>
      <c r="AA1058" t="str">
        <f t="shared" si="48"/>
        <v>Rotavirus vaccine As licensed</v>
      </c>
    </row>
    <row r="1059" spans="2:27" x14ac:dyDescent="0.25">
      <c r="B1059" s="1" t="s">
        <v>1448</v>
      </c>
      <c r="C1059" s="1" t="s">
        <v>1449</v>
      </c>
      <c r="D1059" s="1" t="s">
        <v>4</v>
      </c>
      <c r="E1059" s="1" t="s">
        <v>140</v>
      </c>
      <c r="G1059" s="14">
        <v>0.16</v>
      </c>
      <c r="H1059" s="14" t="s">
        <v>1624</v>
      </c>
      <c r="M1059" t="s">
        <v>1673</v>
      </c>
      <c r="AA1059" t="str">
        <f t="shared" si="48"/>
        <v>Salbutamol Tablet 2 mg</v>
      </c>
    </row>
    <row r="1060" spans="2:27" x14ac:dyDescent="0.25">
      <c r="B1060" s="1" t="s">
        <v>1448</v>
      </c>
      <c r="C1060" s="1" t="s">
        <v>1449</v>
      </c>
      <c r="D1060" s="1" t="s">
        <v>4</v>
      </c>
      <c r="E1060" s="1" t="s">
        <v>851</v>
      </c>
      <c r="G1060" s="14">
        <v>0.19</v>
      </c>
      <c r="H1060" s="14" t="s">
        <v>1624</v>
      </c>
      <c r="M1060" t="s">
        <v>1673</v>
      </c>
      <c r="AA1060" t="str">
        <f t="shared" si="48"/>
        <v>Salbutamol Tablet 4 mg</v>
      </c>
    </row>
    <row r="1061" spans="2:27" x14ac:dyDescent="0.25">
      <c r="B1061" s="1" t="s">
        <v>1448</v>
      </c>
      <c r="C1061" s="1" t="s">
        <v>1449</v>
      </c>
      <c r="D1061" s="1" t="s">
        <v>4</v>
      </c>
      <c r="E1061" s="1" t="s">
        <v>1017</v>
      </c>
      <c r="G1061" s="14">
        <v>0.16</v>
      </c>
      <c r="H1061" s="1" t="s">
        <v>1622</v>
      </c>
      <c r="M1061" t="s">
        <v>1673</v>
      </c>
      <c r="AA1061" t="str">
        <f t="shared" si="48"/>
        <v>Salbutamol Oral liquid 2 mg/5 mL</v>
      </c>
    </row>
    <row r="1062" spans="2:27" x14ac:dyDescent="0.25">
      <c r="B1062" s="1"/>
      <c r="C1062" s="1"/>
      <c r="D1062" s="1"/>
      <c r="E1062" s="1"/>
      <c r="J1062" t="s">
        <v>530</v>
      </c>
      <c r="K1062" t="str">
        <f t="shared" si="49"/>
        <v xml:space="preserve"> </v>
      </c>
      <c r="L1062">
        <f t="shared" si="50"/>
        <v>0</v>
      </c>
      <c r="AA1062" t="str">
        <f t="shared" si="48"/>
        <v xml:space="preserve"> </v>
      </c>
    </row>
    <row r="1063" spans="2:27" x14ac:dyDescent="0.25">
      <c r="B1063" s="2" t="s">
        <v>1450</v>
      </c>
      <c r="C1063" s="1"/>
      <c r="D1063" s="1"/>
      <c r="E1063" s="1"/>
      <c r="J1063" t="s">
        <v>530</v>
      </c>
      <c r="K1063" t="str">
        <f t="shared" si="49"/>
        <v xml:space="preserve"> </v>
      </c>
      <c r="L1063" t="str">
        <f t="shared" si="50"/>
        <v>22.2 - Medicines used in Preterm Labour</v>
      </c>
      <c r="AA1063" t="str">
        <f t="shared" si="48"/>
        <v xml:space="preserve"> </v>
      </c>
    </row>
    <row r="1064" spans="2:27" x14ac:dyDescent="0.25">
      <c r="B1064" s="1" t="s">
        <v>1448</v>
      </c>
      <c r="C1064" s="1" t="s">
        <v>1449</v>
      </c>
      <c r="D1064" s="1" t="s">
        <v>4</v>
      </c>
      <c r="E1064" s="1" t="s">
        <v>1451</v>
      </c>
      <c r="G1064" s="14">
        <v>0.44</v>
      </c>
      <c r="H1064" s="14" t="s">
        <v>1626</v>
      </c>
      <c r="M1064" t="s">
        <v>1673</v>
      </c>
      <c r="AA1064" t="str">
        <f t="shared" si="48"/>
        <v>Salbutamol Inhalation (MDI/DPI*) 100 mcg/dose</v>
      </c>
    </row>
    <row r="1065" spans="2:27" x14ac:dyDescent="0.25">
      <c r="B1065" s="1" t="s">
        <v>1448</v>
      </c>
      <c r="C1065" s="1" t="s">
        <v>1449</v>
      </c>
      <c r="D1065" s="1" t="s">
        <v>4</v>
      </c>
      <c r="E1065" s="1" t="s">
        <v>1452</v>
      </c>
      <c r="G1065" s="14">
        <v>0.61</v>
      </c>
      <c r="H1065" s="14" t="s">
        <v>1626</v>
      </c>
      <c r="M1065" t="s">
        <v>1673</v>
      </c>
      <c r="AA1065" t="str">
        <f t="shared" si="48"/>
        <v>Salbutamol Respirator Solution
(Solution for Nebulizer 5 mg/mL)</v>
      </c>
    </row>
    <row r="1066" spans="2:27" x14ac:dyDescent="0.25">
      <c r="B1066" s="1"/>
      <c r="C1066" s="1"/>
      <c r="D1066" s="1"/>
      <c r="E1066" s="1"/>
      <c r="J1066" t="s">
        <v>530</v>
      </c>
      <c r="K1066" t="str">
        <f t="shared" si="49"/>
        <v xml:space="preserve"> </v>
      </c>
      <c r="L1066">
        <f t="shared" si="50"/>
        <v>0</v>
      </c>
      <c r="AA1066" t="str">
        <f t="shared" si="48"/>
        <v xml:space="preserve"> </v>
      </c>
    </row>
    <row r="1067" spans="2:27" x14ac:dyDescent="0.25">
      <c r="B1067" s="2" t="s">
        <v>1453</v>
      </c>
      <c r="C1067" s="1"/>
      <c r="D1067" s="1"/>
      <c r="E1067" s="1"/>
      <c r="J1067" t="s">
        <v>530</v>
      </c>
      <c r="K1067" t="str">
        <f t="shared" si="49"/>
        <v xml:space="preserve"> </v>
      </c>
      <c r="L1067" t="str">
        <f t="shared" si="50"/>
        <v>Section 23 Medicines used in treatment of Psychiatric Disorders</v>
      </c>
      <c r="AA1067" t="str">
        <f t="shared" si="48"/>
        <v xml:space="preserve"> </v>
      </c>
    </row>
    <row r="1068" spans="2:27" x14ac:dyDescent="0.25">
      <c r="B1068" s="2" t="s">
        <v>1454</v>
      </c>
      <c r="C1068" s="1"/>
      <c r="D1068" s="1"/>
      <c r="E1068" s="1"/>
      <c r="J1068" t="s">
        <v>530</v>
      </c>
      <c r="K1068" t="str">
        <f t="shared" si="49"/>
        <v xml:space="preserve"> </v>
      </c>
      <c r="L1068" t="str">
        <f t="shared" si="50"/>
        <v>23.1 - Medicines used in Psychotic Disorders</v>
      </c>
      <c r="AA1068" t="str">
        <f t="shared" si="48"/>
        <v xml:space="preserve"> </v>
      </c>
    </row>
    <row r="1069" spans="2:27" x14ac:dyDescent="0.25">
      <c r="B1069" s="1" t="s">
        <v>1455</v>
      </c>
      <c r="C1069" s="1" t="s">
        <v>405</v>
      </c>
      <c r="D1069" s="1" t="s">
        <v>4</v>
      </c>
      <c r="E1069" s="1" t="s">
        <v>406</v>
      </c>
      <c r="AA1069" t="str">
        <f t="shared" si="48"/>
        <v>Salicylic acid Ointment 3-6 %</v>
      </c>
    </row>
    <row r="1070" spans="2:27" x14ac:dyDescent="0.25">
      <c r="B1070" s="1" t="s">
        <v>1456</v>
      </c>
      <c r="C1070" s="1" t="s">
        <v>1457</v>
      </c>
      <c r="D1070" s="1" t="s">
        <v>19</v>
      </c>
      <c r="E1070" s="1" t="s">
        <v>1020</v>
      </c>
      <c r="M1070" t="s">
        <v>1630</v>
      </c>
      <c r="N1070" t="s">
        <v>1631</v>
      </c>
      <c r="AA1070" t="str">
        <f t="shared" si="48"/>
        <v>Sevoflurane Liquid for inhalation</v>
      </c>
    </row>
    <row r="1071" spans="2:27" x14ac:dyDescent="0.25">
      <c r="B1071" s="1" t="s">
        <v>1458</v>
      </c>
      <c r="C1071" s="1" t="s">
        <v>1459</v>
      </c>
      <c r="D1071" s="1" t="s">
        <v>4</v>
      </c>
      <c r="E1071" s="1" t="s">
        <v>199</v>
      </c>
      <c r="AA1071" t="str">
        <f t="shared" si="48"/>
        <v>Silver sulphadiazine Cream 1 %</v>
      </c>
    </row>
    <row r="1072" spans="2:27" x14ac:dyDescent="0.25">
      <c r="B1072" s="1" t="s">
        <v>1460</v>
      </c>
      <c r="C1072" s="1" t="s">
        <v>1461</v>
      </c>
      <c r="D1072" s="1" t="s">
        <v>4</v>
      </c>
      <c r="E1072" s="1" t="s">
        <v>1462</v>
      </c>
      <c r="M1072" t="s">
        <v>631</v>
      </c>
      <c r="N1072" t="s">
        <v>1641</v>
      </c>
      <c r="AA1072" t="str">
        <f t="shared" si="48"/>
        <v>Snake venom antiserum Lyophilized polyvalent - As licensed</v>
      </c>
    </row>
    <row r="1073" spans="2:27" x14ac:dyDescent="0.25">
      <c r="B1073" s="1" t="s">
        <v>1460</v>
      </c>
      <c r="C1073" s="1" t="s">
        <v>1461</v>
      </c>
      <c r="D1073" s="1" t="s">
        <v>4</v>
      </c>
      <c r="E1073" s="1" t="s">
        <v>1463</v>
      </c>
      <c r="M1073" t="s">
        <v>631</v>
      </c>
      <c r="N1073" t="s">
        <v>1641</v>
      </c>
      <c r="AA1073" t="str">
        <f t="shared" si="48"/>
        <v>Snake venom antiserum Soluble/ liquid polyvalent - As licensed</v>
      </c>
    </row>
    <row r="1074" spans="2:27" x14ac:dyDescent="0.25">
      <c r="B1074" s="1" t="s">
        <v>1464</v>
      </c>
      <c r="C1074" s="1" t="s">
        <v>1465</v>
      </c>
      <c r="D1074" s="1" t="s">
        <v>4</v>
      </c>
      <c r="E1074" s="1" t="s">
        <v>1466</v>
      </c>
      <c r="M1074" t="s">
        <v>1680</v>
      </c>
      <c r="AA1074" t="str">
        <f t="shared" si="48"/>
        <v>Snake Venom Antiserum a) Soluble/ liquid polyvalent - As Licensed</v>
      </c>
    </row>
    <row r="1075" spans="2:27" x14ac:dyDescent="0.25">
      <c r="B1075" s="1" t="s">
        <v>1464</v>
      </c>
      <c r="C1075" s="1" t="s">
        <v>1465</v>
      </c>
      <c r="D1075" s="1" t="s">
        <v>4</v>
      </c>
      <c r="E1075" s="1" t="s">
        <v>1467</v>
      </c>
      <c r="M1075" t="s">
        <v>1680</v>
      </c>
      <c r="AA1075" t="str">
        <f t="shared" si="48"/>
        <v>Snake Venom Antiserum b) Lyophilized polyvalent - As Licensed</v>
      </c>
    </row>
    <row r="1076" spans="2:27" x14ac:dyDescent="0.25">
      <c r="B1076" s="1" t="s">
        <v>1468</v>
      </c>
      <c r="C1076" s="1" t="s">
        <v>1469</v>
      </c>
      <c r="D1076" s="1" t="s">
        <v>4</v>
      </c>
      <c r="E1076" s="1" t="s">
        <v>1439</v>
      </c>
      <c r="G1076" s="14">
        <v>1.2</v>
      </c>
      <c r="H1076" s="14" t="s">
        <v>1626</v>
      </c>
      <c r="AA1076" t="str">
        <f t="shared" si="48"/>
        <v>Sodium bicarbonate Injection (as per IP)</v>
      </c>
    </row>
    <row r="1077" spans="2:27" x14ac:dyDescent="0.25">
      <c r="B1077" s="1" t="s">
        <v>1470</v>
      </c>
      <c r="C1077" s="1" t="s">
        <v>445</v>
      </c>
      <c r="D1077" s="1" t="s">
        <v>4</v>
      </c>
      <c r="E1077" s="1" t="s">
        <v>1471</v>
      </c>
      <c r="M1077" t="s">
        <v>1683</v>
      </c>
      <c r="AA1077" t="str">
        <f t="shared" si="48"/>
        <v>Sodium chloride Injection 0.9%</v>
      </c>
    </row>
    <row r="1078" spans="2:27" x14ac:dyDescent="0.25">
      <c r="B1078" s="1" t="s">
        <v>1470</v>
      </c>
      <c r="C1078" s="1" t="s">
        <v>445</v>
      </c>
      <c r="D1078" s="1" t="s">
        <v>19</v>
      </c>
      <c r="E1078" s="1" t="s">
        <v>1472</v>
      </c>
      <c r="M1078" t="s">
        <v>1683</v>
      </c>
      <c r="AA1078" t="str">
        <f t="shared" si="48"/>
        <v>Sodium chloride Injection 3%</v>
      </c>
    </row>
    <row r="1079" spans="2:27" x14ac:dyDescent="0.25">
      <c r="B1079" s="1" t="s">
        <v>1473</v>
      </c>
      <c r="C1079" s="1" t="s">
        <v>1474</v>
      </c>
      <c r="D1079" s="1" t="s">
        <v>19</v>
      </c>
      <c r="E1079" s="1" t="s">
        <v>1475</v>
      </c>
      <c r="M1079" t="s">
        <v>631</v>
      </c>
      <c r="N1079" t="s">
        <v>1641</v>
      </c>
      <c r="AA1079" t="str">
        <f t="shared" si="48"/>
        <v>Sodium nitrite Injection 30 mg/mL</v>
      </c>
    </row>
    <row r="1080" spans="2:27" x14ac:dyDescent="0.25">
      <c r="B1080" s="1" t="s">
        <v>1476</v>
      </c>
      <c r="C1080" s="1" t="s">
        <v>1477</v>
      </c>
      <c r="D1080" s="1" t="s">
        <v>124</v>
      </c>
      <c r="E1080" s="1" t="s">
        <v>643</v>
      </c>
      <c r="AA1080" t="str">
        <f t="shared" si="48"/>
        <v>Sodium nitroprusside Injection 10 mg/mL</v>
      </c>
    </row>
    <row r="1081" spans="2:27" x14ac:dyDescent="0.25">
      <c r="B1081" s="1" t="s">
        <v>1478</v>
      </c>
      <c r="C1081" s="1" t="s">
        <v>407</v>
      </c>
      <c r="D1081" s="1" t="s">
        <v>19</v>
      </c>
      <c r="E1081" s="1" t="s">
        <v>21</v>
      </c>
      <c r="M1081" t="s">
        <v>631</v>
      </c>
      <c r="N1081" t="s">
        <v>1641</v>
      </c>
      <c r="AA1081" t="str">
        <f t="shared" si="48"/>
        <v>Sodium thiosulphate Injection 250 mg/mL</v>
      </c>
    </row>
    <row r="1082" spans="2:27" x14ac:dyDescent="0.25">
      <c r="B1082" s="1" t="s">
        <v>1479</v>
      </c>
      <c r="C1082" s="1" t="s">
        <v>1480</v>
      </c>
      <c r="D1082" s="1" t="s">
        <v>4</v>
      </c>
      <c r="E1082" s="1" t="s">
        <v>114</v>
      </c>
      <c r="M1082" t="s">
        <v>651</v>
      </c>
      <c r="N1082" t="s">
        <v>1642</v>
      </c>
      <c r="AA1082" t="str">
        <f t="shared" si="48"/>
        <v>Sodium Valproate Tablet 200 mg</v>
      </c>
    </row>
    <row r="1083" spans="2:27" x14ac:dyDescent="0.25">
      <c r="B1083" s="1" t="s">
        <v>1479</v>
      </c>
      <c r="C1083" s="1" t="s">
        <v>1480</v>
      </c>
      <c r="D1083" s="1" t="s">
        <v>4</v>
      </c>
      <c r="E1083" s="1" t="s">
        <v>278</v>
      </c>
      <c r="G1083" s="10">
        <v>3.98</v>
      </c>
      <c r="H1083" s="13" t="s">
        <v>1617</v>
      </c>
      <c r="I1083" s="13" t="s">
        <v>1618</v>
      </c>
      <c r="M1083" t="s">
        <v>651</v>
      </c>
      <c r="N1083" t="s">
        <v>1642</v>
      </c>
      <c r="AA1083" t="str">
        <f t="shared" si="48"/>
        <v>Sodium Valproate Tablet 300 mg</v>
      </c>
    </row>
    <row r="1084" spans="2:27" x14ac:dyDescent="0.25">
      <c r="B1084" s="1" t="s">
        <v>1479</v>
      </c>
      <c r="C1084" s="1" t="s">
        <v>1480</v>
      </c>
      <c r="D1084" s="1" t="s">
        <v>4</v>
      </c>
      <c r="E1084" s="1" t="s">
        <v>85</v>
      </c>
      <c r="M1084" t="s">
        <v>651</v>
      </c>
      <c r="N1084" t="s">
        <v>1642</v>
      </c>
      <c r="AA1084" t="str">
        <f t="shared" si="48"/>
        <v>Sodium Valproate Tablet 500 mg</v>
      </c>
    </row>
    <row r="1085" spans="2:27" x14ac:dyDescent="0.25">
      <c r="B1085" s="1"/>
      <c r="C1085" s="1"/>
      <c r="D1085" s="1"/>
      <c r="E1085" s="1"/>
      <c r="J1085" t="s">
        <v>530</v>
      </c>
      <c r="K1085" t="str">
        <f t="shared" si="49"/>
        <v xml:space="preserve"> </v>
      </c>
      <c r="L1085">
        <f t="shared" si="50"/>
        <v>0</v>
      </c>
      <c r="AA1085" t="str">
        <f t="shared" si="48"/>
        <v xml:space="preserve"> </v>
      </c>
    </row>
    <row r="1086" spans="2:27" x14ac:dyDescent="0.25">
      <c r="B1086" s="2" t="s">
        <v>1481</v>
      </c>
      <c r="C1086" s="1"/>
      <c r="D1086" s="1"/>
      <c r="E1086" s="1"/>
      <c r="J1086" t="s">
        <v>530</v>
      </c>
      <c r="K1086" t="str">
        <f t="shared" si="49"/>
        <v xml:space="preserve"> </v>
      </c>
      <c r="L1086" t="str">
        <f t="shared" si="50"/>
        <v>23.2 - Medicines used in Mood Disorders</v>
      </c>
      <c r="AA1086" t="str">
        <f t="shared" si="48"/>
        <v xml:space="preserve"> </v>
      </c>
    </row>
    <row r="1087" spans="2:27" x14ac:dyDescent="0.25">
      <c r="B1087" s="2" t="s">
        <v>1481</v>
      </c>
      <c r="C1087" s="1"/>
      <c r="D1087" s="1"/>
      <c r="E1087" s="1"/>
      <c r="J1087" t="s">
        <v>530</v>
      </c>
      <c r="K1087" t="str">
        <f t="shared" si="49"/>
        <v xml:space="preserve"> </v>
      </c>
      <c r="L1087" t="str">
        <f t="shared" si="50"/>
        <v>23.2 - Medicines used in Mood Disorders</v>
      </c>
      <c r="AA1087" t="str">
        <f t="shared" si="48"/>
        <v xml:space="preserve"> </v>
      </c>
    </row>
    <row r="1088" spans="2:27" x14ac:dyDescent="0.25">
      <c r="B1088" s="1" t="s">
        <v>1479</v>
      </c>
      <c r="C1088" s="1" t="s">
        <v>1480</v>
      </c>
      <c r="D1088" s="1" t="s">
        <v>4</v>
      </c>
      <c r="E1088" s="1" t="s">
        <v>1482</v>
      </c>
      <c r="M1088" t="s">
        <v>651</v>
      </c>
      <c r="N1088" t="s">
        <v>1642</v>
      </c>
      <c r="AA1088" t="str">
        <f t="shared" si="48"/>
        <v>Sodium Valproate Modified Release - Tablet 300 mg</v>
      </c>
    </row>
    <row r="1089" spans="2:27" x14ac:dyDescent="0.25">
      <c r="B1089" s="1" t="s">
        <v>1479</v>
      </c>
      <c r="C1089" s="1" t="s">
        <v>1480</v>
      </c>
      <c r="D1089" s="1" t="s">
        <v>4</v>
      </c>
      <c r="E1089" s="1" t="s">
        <v>560</v>
      </c>
      <c r="G1089" s="14">
        <v>0.57999999999999996</v>
      </c>
      <c r="H1089" s="14" t="s">
        <v>1626</v>
      </c>
      <c r="M1089" t="s">
        <v>651</v>
      </c>
      <c r="N1089" t="s">
        <v>1642</v>
      </c>
      <c r="AA1089" t="str">
        <f t="shared" si="48"/>
        <v>Sodium Valproate Oral liquid 200 mg/5 mL (p)</v>
      </c>
    </row>
    <row r="1090" spans="2:27" x14ac:dyDescent="0.25">
      <c r="B1090" s="1" t="s">
        <v>1479</v>
      </c>
      <c r="C1090" s="1" t="s">
        <v>1480</v>
      </c>
      <c r="D1090" s="1" t="s">
        <v>4</v>
      </c>
      <c r="E1090" s="1" t="s">
        <v>85</v>
      </c>
      <c r="M1090" t="s">
        <v>651</v>
      </c>
      <c r="N1090" t="s">
        <v>1642</v>
      </c>
      <c r="AA1090" t="str">
        <f t="shared" si="48"/>
        <v>Sodium Valproate Tablet 500 mg</v>
      </c>
    </row>
    <row r="1091" spans="2:27" x14ac:dyDescent="0.25">
      <c r="B1091" s="1" t="s">
        <v>1479</v>
      </c>
      <c r="C1091" s="1" t="s">
        <v>1480</v>
      </c>
      <c r="D1091" s="1" t="s">
        <v>19</v>
      </c>
      <c r="E1091" s="1" t="s">
        <v>20</v>
      </c>
      <c r="M1091" t="s">
        <v>651</v>
      </c>
      <c r="N1091" t="s">
        <v>1642</v>
      </c>
      <c r="AA1091" t="str">
        <f t="shared" si="48"/>
        <v>Sodium Valproate Injection 100 mg/mL</v>
      </c>
    </row>
    <row r="1092" spans="2:27" x14ac:dyDescent="0.25">
      <c r="B1092" s="1" t="s">
        <v>392</v>
      </c>
      <c r="C1092" s="1" t="s">
        <v>393</v>
      </c>
      <c r="D1092" s="1" t="s">
        <v>4</v>
      </c>
      <c r="E1092" s="1" t="s">
        <v>114</v>
      </c>
      <c r="M1092" t="s">
        <v>1669</v>
      </c>
      <c r="AA1092" t="str">
        <f t="shared" si="48"/>
        <v>Sodium valproate Tablet 200 mg</v>
      </c>
    </row>
    <row r="1093" spans="2:27" x14ac:dyDescent="0.25">
      <c r="B1093" s="1" t="s">
        <v>392</v>
      </c>
      <c r="C1093" s="1" t="s">
        <v>393</v>
      </c>
      <c r="D1093" s="1" t="s">
        <v>4</v>
      </c>
      <c r="E1093" s="1" t="s">
        <v>278</v>
      </c>
      <c r="G1093" s="10">
        <v>3.98</v>
      </c>
      <c r="H1093" s="13" t="s">
        <v>1617</v>
      </c>
      <c r="I1093" s="13" t="s">
        <v>1618</v>
      </c>
      <c r="M1093" t="s">
        <v>1669</v>
      </c>
      <c r="AA1093" t="str">
        <f t="shared" si="48"/>
        <v>Sodium valproate Tablet 300 mg</v>
      </c>
    </row>
    <row r="1094" spans="2:27" x14ac:dyDescent="0.25">
      <c r="B1094" s="1" t="s">
        <v>392</v>
      </c>
      <c r="C1094" s="1" t="s">
        <v>393</v>
      </c>
      <c r="D1094" s="1" t="s">
        <v>4</v>
      </c>
      <c r="E1094" s="1" t="s">
        <v>85</v>
      </c>
      <c r="M1094" t="s">
        <v>1669</v>
      </c>
      <c r="AA1094" t="str">
        <f t="shared" si="48"/>
        <v>Sodium valproate Tablet 500 mg</v>
      </c>
    </row>
    <row r="1095" spans="2:27" x14ac:dyDescent="0.25">
      <c r="B1095" s="1" t="s">
        <v>392</v>
      </c>
      <c r="C1095" s="1" t="s">
        <v>393</v>
      </c>
      <c r="D1095" s="1" t="s">
        <v>4</v>
      </c>
      <c r="E1095" s="1" t="s">
        <v>1482</v>
      </c>
      <c r="M1095" t="s">
        <v>1669</v>
      </c>
      <c r="AA1095" t="str">
        <f t="shared" si="48"/>
        <v>Sodium valproate Modified Release - Tablet 300 mg</v>
      </c>
    </row>
    <row r="1096" spans="2:27" x14ac:dyDescent="0.25">
      <c r="B1096" s="1" t="s">
        <v>392</v>
      </c>
      <c r="C1096" s="1" t="s">
        <v>393</v>
      </c>
      <c r="D1096" s="1" t="s">
        <v>4</v>
      </c>
      <c r="E1096" s="1" t="s">
        <v>394</v>
      </c>
      <c r="M1096" t="s">
        <v>1669</v>
      </c>
      <c r="AA1096" t="str">
        <f t="shared" si="48"/>
        <v>Sodium valproate Modified Release - Tablet 500 mg</v>
      </c>
    </row>
    <row r="1097" spans="2:27" x14ac:dyDescent="0.25">
      <c r="B1097" s="1" t="s">
        <v>1483</v>
      </c>
      <c r="C1097" s="1" t="s">
        <v>1484</v>
      </c>
      <c r="D1097" s="1" t="s">
        <v>19</v>
      </c>
      <c r="E1097" s="1" t="s">
        <v>511</v>
      </c>
      <c r="G1097" s="10">
        <v>468.32</v>
      </c>
      <c r="H1097" s="13" t="s">
        <v>1617</v>
      </c>
      <c r="I1097" s="13" t="s">
        <v>1618</v>
      </c>
      <c r="M1097" t="s">
        <v>735</v>
      </c>
      <c r="N1097" t="s">
        <v>1665</v>
      </c>
      <c r="AA1097" t="str">
        <f t="shared" ref="AA1097:AA1160" si="51">C1097&amp;" "&amp;E1097</f>
        <v>Sofosbuvir Tablet 400 mg</v>
      </c>
    </row>
    <row r="1098" spans="2:27" x14ac:dyDescent="0.25">
      <c r="B1098" s="1" t="s">
        <v>426</v>
      </c>
      <c r="C1098" s="1" t="s">
        <v>1485</v>
      </c>
      <c r="D1098" s="1" t="s">
        <v>8</v>
      </c>
      <c r="E1098" s="1" t="s">
        <v>1486</v>
      </c>
      <c r="AA1098" t="str">
        <f t="shared" si="51"/>
        <v>Somatostatin Powder for Injection 3 mg</v>
      </c>
    </row>
    <row r="1099" spans="2:27" x14ac:dyDescent="0.25">
      <c r="B1099" s="1"/>
      <c r="C1099" s="1"/>
      <c r="D1099" s="1"/>
      <c r="E1099" s="1"/>
      <c r="J1099" t="s">
        <v>530</v>
      </c>
      <c r="K1099" t="str">
        <f t="shared" ref="K1099:K1161" si="52">C1099&amp;" "&amp;E1099</f>
        <v xml:space="preserve"> </v>
      </c>
      <c r="L1099">
        <f t="shared" ref="L1099:L1161" si="53">B1099</f>
        <v>0</v>
      </c>
      <c r="AA1099" t="str">
        <f t="shared" si="51"/>
        <v xml:space="preserve"> </v>
      </c>
    </row>
    <row r="1100" spans="2:27" x14ac:dyDescent="0.25">
      <c r="B1100" s="2" t="s">
        <v>1487</v>
      </c>
      <c r="C1100" s="1"/>
      <c r="D1100" s="1"/>
      <c r="E1100" s="1"/>
      <c r="J1100" t="s">
        <v>530</v>
      </c>
      <c r="K1100" t="str">
        <f t="shared" si="52"/>
        <v xml:space="preserve"> </v>
      </c>
      <c r="L1100" t="str">
        <f t="shared" si="53"/>
        <v>23.2.2 - Medicines used in Bipolar Disorders</v>
      </c>
      <c r="AA1100" t="str">
        <f t="shared" si="51"/>
        <v xml:space="preserve"> </v>
      </c>
    </row>
    <row r="1101" spans="2:27" x14ac:dyDescent="0.25">
      <c r="B1101" s="1" t="s">
        <v>1488</v>
      </c>
      <c r="C1101" s="1" t="s">
        <v>1489</v>
      </c>
      <c r="D1101" s="1" t="s">
        <v>4</v>
      </c>
      <c r="E1101" s="1" t="s">
        <v>132</v>
      </c>
      <c r="G1101" s="14">
        <v>1.95</v>
      </c>
      <c r="H1101" s="14" t="s">
        <v>1626</v>
      </c>
      <c r="M1101" t="s">
        <v>1667</v>
      </c>
      <c r="AA1101" t="str">
        <f t="shared" si="51"/>
        <v>Spironolactone Tablet 25 mg</v>
      </c>
    </row>
    <row r="1102" spans="2:27" x14ac:dyDescent="0.25">
      <c r="B1102" s="1" t="s">
        <v>1488</v>
      </c>
      <c r="C1102" s="1" t="s">
        <v>1489</v>
      </c>
      <c r="D1102" s="1" t="s">
        <v>4</v>
      </c>
      <c r="E1102" s="1" t="s">
        <v>28</v>
      </c>
      <c r="G1102" s="14">
        <v>3.9</v>
      </c>
      <c r="H1102" s="1" t="s">
        <v>1622</v>
      </c>
      <c r="M1102" t="s">
        <v>1667</v>
      </c>
      <c r="AA1102" t="str">
        <f t="shared" si="51"/>
        <v>Spironolactone Tablet 50 mg</v>
      </c>
    </row>
    <row r="1103" spans="2:27" x14ac:dyDescent="0.25">
      <c r="B1103" s="1">
        <v>15.4</v>
      </c>
      <c r="C1103" s="1" t="s">
        <v>1489</v>
      </c>
      <c r="D1103" s="1" t="s">
        <v>4</v>
      </c>
      <c r="E1103" s="1" t="s">
        <v>132</v>
      </c>
      <c r="G1103" s="14">
        <v>1.95</v>
      </c>
      <c r="H1103" s="14" t="s">
        <v>1626</v>
      </c>
      <c r="M1103" t="s">
        <v>1682</v>
      </c>
      <c r="AA1103" t="str">
        <f t="shared" si="51"/>
        <v>Spironolactone Tablet 25 mg</v>
      </c>
    </row>
    <row r="1104" spans="2:27" x14ac:dyDescent="0.25">
      <c r="B1104" s="1">
        <v>15.4</v>
      </c>
      <c r="C1104" s="1" t="s">
        <v>1489</v>
      </c>
      <c r="D1104" s="1" t="s">
        <v>4</v>
      </c>
      <c r="E1104" s="1" t="s">
        <v>28</v>
      </c>
      <c r="G1104" s="14">
        <v>3.9</v>
      </c>
      <c r="H1104" s="1" t="s">
        <v>1622</v>
      </c>
      <c r="M1104" t="s">
        <v>1682</v>
      </c>
      <c r="AA1104" t="str">
        <f t="shared" si="51"/>
        <v>Spironolactone Tablet 50 mg</v>
      </c>
    </row>
    <row r="1105" spans="2:27" x14ac:dyDescent="0.25">
      <c r="B1105" s="1" t="s">
        <v>1490</v>
      </c>
      <c r="C1105" s="1" t="s">
        <v>1491</v>
      </c>
      <c r="D1105" s="1" t="s">
        <v>19</v>
      </c>
      <c r="E1105" s="1" t="s">
        <v>1492</v>
      </c>
      <c r="M1105" t="s">
        <v>1667</v>
      </c>
      <c r="AA1105" t="str">
        <f t="shared" si="51"/>
        <v>Streptokinase Injection 750,000 IU</v>
      </c>
    </row>
    <row r="1106" spans="2:27" x14ac:dyDescent="0.25">
      <c r="B1106" s="1" t="s">
        <v>1490</v>
      </c>
      <c r="C1106" s="1" t="s">
        <v>1491</v>
      </c>
      <c r="D1106" s="1" t="s">
        <v>19</v>
      </c>
      <c r="E1106" s="1" t="s">
        <v>1493</v>
      </c>
      <c r="F1106" s="5"/>
      <c r="G1106" s="14">
        <v>1674.28</v>
      </c>
      <c r="H1106" s="1" t="s">
        <v>1622</v>
      </c>
      <c r="M1106" t="s">
        <v>1667</v>
      </c>
      <c r="AA1106" t="str">
        <f t="shared" si="51"/>
        <v>Streptokinase Injection 15,00,000 IU</v>
      </c>
    </row>
    <row r="1107" spans="2:27" x14ac:dyDescent="0.25">
      <c r="B1107" s="1" t="s">
        <v>1494</v>
      </c>
      <c r="C1107" s="1" t="s">
        <v>1495</v>
      </c>
      <c r="D1107" s="1" t="s">
        <v>4</v>
      </c>
      <c r="E1107" s="1" t="s">
        <v>1496</v>
      </c>
      <c r="F1107" s="5"/>
      <c r="G1107" s="14">
        <v>9.01</v>
      </c>
      <c r="H1107" s="1" t="s">
        <v>1622</v>
      </c>
      <c r="M1107" t="s">
        <v>735</v>
      </c>
      <c r="N1107" t="s">
        <v>1655</v>
      </c>
      <c r="AA1107" t="str">
        <f t="shared" si="51"/>
        <v xml:space="preserve">Streptomycin Powder for Injection 750 mg </v>
      </c>
    </row>
    <row r="1108" spans="2:27" x14ac:dyDescent="0.25">
      <c r="B1108" s="1" t="s">
        <v>1494</v>
      </c>
      <c r="C1108" s="1" t="s">
        <v>1495</v>
      </c>
      <c r="D1108" s="1" t="s">
        <v>4</v>
      </c>
      <c r="E1108" s="1" t="s">
        <v>606</v>
      </c>
      <c r="F1108" s="5"/>
      <c r="G1108" s="14">
        <v>9.69</v>
      </c>
      <c r="H1108" s="1" t="s">
        <v>1622</v>
      </c>
      <c r="M1108" t="s">
        <v>735</v>
      </c>
      <c r="N1108" t="s">
        <v>1655</v>
      </c>
      <c r="AA1108" t="str">
        <f t="shared" si="51"/>
        <v>Streptomycin Powder for Injection 1000 mg</v>
      </c>
    </row>
    <row r="1109" spans="2:27" x14ac:dyDescent="0.25">
      <c r="B1109" s="1" t="s">
        <v>1497</v>
      </c>
      <c r="C1109" s="1" t="s">
        <v>1498</v>
      </c>
      <c r="D1109" s="1" t="s">
        <v>19</v>
      </c>
      <c r="E1109" s="1" t="s">
        <v>182</v>
      </c>
      <c r="F1109" s="5"/>
      <c r="M1109" t="s">
        <v>1630</v>
      </c>
      <c r="N1109" t="s">
        <v>1634</v>
      </c>
      <c r="AA1109" t="str">
        <f t="shared" si="51"/>
        <v>Succinylcholine Injection 50 mg/mL</v>
      </c>
    </row>
    <row r="1110" spans="2:27" x14ac:dyDescent="0.25">
      <c r="B1110" s="1" t="s">
        <v>303</v>
      </c>
      <c r="C1110" s="1" t="s">
        <v>1499</v>
      </c>
      <c r="D1110" s="1" t="s">
        <v>19</v>
      </c>
      <c r="E1110" s="1" t="s">
        <v>85</v>
      </c>
      <c r="F1110" s="5"/>
      <c r="G1110" s="14">
        <v>4.21</v>
      </c>
      <c r="H1110" s="14" t="s">
        <v>1624</v>
      </c>
      <c r="M1110" t="s">
        <v>1635</v>
      </c>
      <c r="N1110" t="s">
        <v>1639</v>
      </c>
      <c r="AA1110" t="str">
        <f t="shared" si="51"/>
        <v>Sulfasalazine Tablet 500 mg</v>
      </c>
    </row>
    <row r="1111" spans="2:27" x14ac:dyDescent="0.25">
      <c r="B1111" s="1" t="s">
        <v>1500</v>
      </c>
      <c r="C1111" s="1" t="s">
        <v>403</v>
      </c>
      <c r="D1111" s="1" t="s">
        <v>4</v>
      </c>
      <c r="E1111" s="1" t="s">
        <v>28</v>
      </c>
      <c r="M1111" t="s">
        <v>651</v>
      </c>
      <c r="AA1111" t="str">
        <f t="shared" si="51"/>
        <v>Sumatriptan Tablet 50 mg</v>
      </c>
    </row>
    <row r="1112" spans="2:27" x14ac:dyDescent="0.25">
      <c r="B1112" s="1" t="s">
        <v>1500</v>
      </c>
      <c r="C1112" s="1" t="s">
        <v>403</v>
      </c>
      <c r="D1112" s="1" t="s">
        <v>4</v>
      </c>
      <c r="E1112" s="1" t="s">
        <v>132</v>
      </c>
      <c r="F1112" s="5"/>
      <c r="M1112" t="s">
        <v>651</v>
      </c>
      <c r="AA1112" t="str">
        <f t="shared" si="51"/>
        <v>Sumatriptan Tablet 25 mg</v>
      </c>
    </row>
    <row r="1113" spans="2:27" x14ac:dyDescent="0.25">
      <c r="B1113" s="1"/>
      <c r="C1113" s="1"/>
      <c r="D1113" s="1"/>
      <c r="E1113" s="1"/>
      <c r="J1113" t="s">
        <v>530</v>
      </c>
      <c r="K1113" t="str">
        <f t="shared" si="52"/>
        <v xml:space="preserve"> </v>
      </c>
      <c r="L1113">
        <f t="shared" si="53"/>
        <v>0</v>
      </c>
      <c r="AA1113" t="str">
        <f t="shared" si="51"/>
        <v xml:space="preserve"> </v>
      </c>
    </row>
    <row r="1114" spans="2:27" x14ac:dyDescent="0.25">
      <c r="B1114" s="2" t="s">
        <v>1501</v>
      </c>
      <c r="C1114" s="1"/>
      <c r="D1114" s="1"/>
      <c r="E1114" s="1"/>
      <c r="J1114" t="s">
        <v>530</v>
      </c>
      <c r="K1114" t="str">
        <f t="shared" si="52"/>
        <v xml:space="preserve"> </v>
      </c>
      <c r="L1114" t="str">
        <f t="shared" si="53"/>
        <v>23.3 - Medicines used in Generalized Anxiety and Sleep Disorders</v>
      </c>
      <c r="AA1114" t="str">
        <f t="shared" si="51"/>
        <v xml:space="preserve"> </v>
      </c>
    </row>
    <row r="1115" spans="2:27" x14ac:dyDescent="0.25">
      <c r="B1115" s="1">
        <v>20.3</v>
      </c>
      <c r="C1115" s="1" t="s">
        <v>1502</v>
      </c>
      <c r="D1115" s="1" t="s">
        <v>19</v>
      </c>
      <c r="E1115" s="1" t="s">
        <v>1503</v>
      </c>
      <c r="AA1115" t="str">
        <f t="shared" si="51"/>
        <v>Surfactant Suspension for intratracheal instillation (As licensed)</v>
      </c>
    </row>
    <row r="1116" spans="2:27" x14ac:dyDescent="0.25">
      <c r="B1116" s="1" t="s">
        <v>1504</v>
      </c>
      <c r="C1116" s="1" t="s">
        <v>1505</v>
      </c>
      <c r="D1116" s="1" t="s">
        <v>8</v>
      </c>
      <c r="E1116" s="1" t="s">
        <v>1506</v>
      </c>
      <c r="G1116" s="10">
        <v>36.229999999999997</v>
      </c>
      <c r="H1116" s="13" t="s">
        <v>1617</v>
      </c>
      <c r="I1116" s="13" t="s">
        <v>1618</v>
      </c>
      <c r="M1116" t="s">
        <v>1668</v>
      </c>
      <c r="AA1116" t="str">
        <f t="shared" si="51"/>
        <v>Tacrolimus Capsule 1 mg</v>
      </c>
    </row>
    <row r="1117" spans="2:27" x14ac:dyDescent="0.25">
      <c r="B1117" s="1" t="s">
        <v>1504</v>
      </c>
      <c r="C1117" s="1" t="s">
        <v>1505</v>
      </c>
      <c r="D1117" s="1" t="s">
        <v>8</v>
      </c>
      <c r="E1117" s="1" t="s">
        <v>1507</v>
      </c>
      <c r="G1117" s="10">
        <v>75.22</v>
      </c>
      <c r="H1117" s="13" t="s">
        <v>1617</v>
      </c>
      <c r="I1117" s="13" t="s">
        <v>1618</v>
      </c>
      <c r="M1117" t="s">
        <v>1668</v>
      </c>
      <c r="AA1117" t="str">
        <f t="shared" si="51"/>
        <v>Tacrolimus Capsule 2 mg</v>
      </c>
    </row>
    <row r="1118" spans="2:27" x14ac:dyDescent="0.25">
      <c r="B1118" s="1" t="s">
        <v>1504</v>
      </c>
      <c r="C1118" s="1" t="s">
        <v>1505</v>
      </c>
      <c r="D1118" s="1" t="s">
        <v>8</v>
      </c>
      <c r="E1118" s="1" t="s">
        <v>1508</v>
      </c>
      <c r="G1118" s="10">
        <v>18.43</v>
      </c>
      <c r="H1118" s="13" t="s">
        <v>1617</v>
      </c>
      <c r="I1118" s="13" t="s">
        <v>1618</v>
      </c>
      <c r="M1118" t="s">
        <v>1668</v>
      </c>
      <c r="AA1118" t="str">
        <f t="shared" si="51"/>
        <v>Tacrolimus Capsule 0.5 mg</v>
      </c>
    </row>
    <row r="1119" spans="2:27" x14ac:dyDescent="0.25">
      <c r="B1119" s="1" t="s">
        <v>1509</v>
      </c>
      <c r="C1119" s="1" t="s">
        <v>1510</v>
      </c>
      <c r="D1119" s="1" t="s">
        <v>8</v>
      </c>
      <c r="E1119" s="1" t="s">
        <v>76</v>
      </c>
      <c r="G1119" s="14">
        <v>2.63</v>
      </c>
      <c r="H1119" s="14" t="s">
        <v>1624</v>
      </c>
      <c r="M1119" t="s">
        <v>1668</v>
      </c>
      <c r="AA1119" t="str">
        <f t="shared" si="51"/>
        <v>Tamoxifen Tablet 20 mg</v>
      </c>
    </row>
    <row r="1120" spans="2:27" x14ac:dyDescent="0.25">
      <c r="B1120" s="1"/>
      <c r="C1120" s="1"/>
      <c r="D1120" s="1"/>
      <c r="E1120" s="1"/>
      <c r="J1120" t="s">
        <v>530</v>
      </c>
      <c r="K1120" t="str">
        <f t="shared" si="52"/>
        <v xml:space="preserve"> </v>
      </c>
      <c r="L1120">
        <f t="shared" si="53"/>
        <v>0</v>
      </c>
      <c r="AA1120" t="str">
        <f t="shared" si="51"/>
        <v xml:space="preserve"> </v>
      </c>
    </row>
    <row r="1121" spans="2:27" x14ac:dyDescent="0.25">
      <c r="B1121" s="2" t="s">
        <v>1511</v>
      </c>
      <c r="C1121" s="1"/>
      <c r="D1121" s="1"/>
      <c r="E1121" s="1"/>
      <c r="J1121" t="s">
        <v>530</v>
      </c>
      <c r="K1121" t="str">
        <f t="shared" si="52"/>
        <v xml:space="preserve"> </v>
      </c>
      <c r="L1121" t="str">
        <f t="shared" si="53"/>
        <v>23.4 - Medicines used in Obsessive Compulsive Disorders and Panic attacks</v>
      </c>
      <c r="AA1121" t="str">
        <f t="shared" si="51"/>
        <v xml:space="preserve"> </v>
      </c>
    </row>
    <row r="1122" spans="2:27" x14ac:dyDescent="0.25">
      <c r="B1122" s="1" t="s">
        <v>1509</v>
      </c>
      <c r="C1122" s="1" t="s">
        <v>1510</v>
      </c>
      <c r="D1122" s="1" t="s">
        <v>8</v>
      </c>
      <c r="E1122" s="1" t="s">
        <v>220</v>
      </c>
      <c r="G1122" s="14">
        <v>1.97</v>
      </c>
      <c r="H1122" s="14" t="s">
        <v>1624</v>
      </c>
      <c r="M1122" t="s">
        <v>1668</v>
      </c>
      <c r="AA1122" t="str">
        <f t="shared" si="51"/>
        <v>Tamoxifen Tablet 10 mg</v>
      </c>
    </row>
    <row r="1123" spans="2:27" x14ac:dyDescent="0.25">
      <c r="B1123" s="1" t="s">
        <v>1512</v>
      </c>
      <c r="C1123" s="1" t="s">
        <v>1513</v>
      </c>
      <c r="D1123" s="1" t="s">
        <v>4</v>
      </c>
      <c r="E1123" s="1" t="s">
        <v>76</v>
      </c>
      <c r="G1123" s="10">
        <v>3.44</v>
      </c>
      <c r="H1123" s="13" t="s">
        <v>1617</v>
      </c>
      <c r="I1123" s="13" t="s">
        <v>1618</v>
      </c>
      <c r="M1123" t="s">
        <v>1667</v>
      </c>
      <c r="AA1123" t="str">
        <f t="shared" si="51"/>
        <v>Telmisartan Tablet 20 mg</v>
      </c>
    </row>
    <row r="1124" spans="2:27" x14ac:dyDescent="0.25">
      <c r="B1124" s="1" t="s">
        <v>1512</v>
      </c>
      <c r="C1124" s="1" t="s">
        <v>1513</v>
      </c>
      <c r="D1124" s="1" t="s">
        <v>4</v>
      </c>
      <c r="E1124" s="1" t="s">
        <v>640</v>
      </c>
      <c r="G1124" s="10">
        <v>6.03</v>
      </c>
      <c r="H1124" s="13" t="s">
        <v>1617</v>
      </c>
      <c r="I1124" s="13" t="s">
        <v>1618</v>
      </c>
      <c r="M1124" t="s">
        <v>1667</v>
      </c>
      <c r="AA1124" t="str">
        <f t="shared" si="51"/>
        <v>Telmisartan Tablet 40 mg</v>
      </c>
    </row>
    <row r="1125" spans="2:27" x14ac:dyDescent="0.25">
      <c r="B1125" s="1" t="s">
        <v>1512</v>
      </c>
      <c r="C1125" s="1" t="s">
        <v>1513</v>
      </c>
      <c r="D1125" s="1" t="s">
        <v>4</v>
      </c>
      <c r="E1125" s="1" t="s">
        <v>32</v>
      </c>
      <c r="G1125" s="10">
        <v>9.24</v>
      </c>
      <c r="H1125" s="13" t="s">
        <v>1617</v>
      </c>
      <c r="I1125" s="13" t="s">
        <v>1618</v>
      </c>
      <c r="M1125" t="s">
        <v>1667</v>
      </c>
      <c r="AA1125" t="str">
        <f t="shared" si="51"/>
        <v>Telmisartan Tablet 80 mg</v>
      </c>
    </row>
    <row r="1126" spans="2:27" x14ac:dyDescent="0.25">
      <c r="B1126" s="1" t="s">
        <v>1514</v>
      </c>
      <c r="C1126" s="1" t="s">
        <v>1515</v>
      </c>
      <c r="D1126" s="1" t="s">
        <v>8</v>
      </c>
      <c r="E1126" s="1" t="s">
        <v>240</v>
      </c>
      <c r="G1126" s="14">
        <v>1345.52</v>
      </c>
      <c r="H1126" s="1" t="s">
        <v>1622</v>
      </c>
      <c r="M1126" t="s">
        <v>1668</v>
      </c>
      <c r="AA1126" t="str">
        <f t="shared" si="51"/>
        <v>Temozolomide Capsule 100 mg</v>
      </c>
    </row>
    <row r="1127" spans="2:27" x14ac:dyDescent="0.25">
      <c r="B1127" s="1" t="s">
        <v>1514</v>
      </c>
      <c r="C1127" s="1" t="s">
        <v>1515</v>
      </c>
      <c r="D1127" s="1" t="s">
        <v>8</v>
      </c>
      <c r="E1127" s="1" t="s">
        <v>120</v>
      </c>
      <c r="G1127" s="10">
        <v>3838.48</v>
      </c>
      <c r="H1127" s="13" t="s">
        <v>1617</v>
      </c>
      <c r="I1127" s="13" t="s">
        <v>1618</v>
      </c>
      <c r="M1127" t="s">
        <v>1668</v>
      </c>
      <c r="AA1127" t="str">
        <f t="shared" si="51"/>
        <v>Temozolomide Capsule 250 mg</v>
      </c>
    </row>
    <row r="1128" spans="2:27" x14ac:dyDescent="0.25">
      <c r="B1128" s="1" t="s">
        <v>1514</v>
      </c>
      <c r="C1128" s="1" t="s">
        <v>1515</v>
      </c>
      <c r="D1128" s="1" t="s">
        <v>8</v>
      </c>
      <c r="E1128" s="1" t="s">
        <v>963</v>
      </c>
      <c r="G1128" s="10">
        <v>393.6</v>
      </c>
      <c r="H1128" s="13" t="s">
        <v>1617</v>
      </c>
      <c r="I1128" s="13" t="s">
        <v>1618</v>
      </c>
      <c r="M1128" t="s">
        <v>1668</v>
      </c>
      <c r="AA1128" t="str">
        <f t="shared" si="51"/>
        <v>Temozolomide Capsule 20 mg</v>
      </c>
    </row>
    <row r="1129" spans="2:27" x14ac:dyDescent="0.25">
      <c r="B1129" s="1"/>
      <c r="C1129" s="1"/>
      <c r="D1129" s="1"/>
      <c r="E1129" s="1"/>
      <c r="J1129" t="s">
        <v>530</v>
      </c>
      <c r="K1129" t="str">
        <f t="shared" si="52"/>
        <v xml:space="preserve"> </v>
      </c>
      <c r="L1129">
        <f t="shared" si="53"/>
        <v>0</v>
      </c>
      <c r="AA1129" t="str">
        <f t="shared" si="51"/>
        <v xml:space="preserve"> </v>
      </c>
    </row>
    <row r="1130" spans="2:27" x14ac:dyDescent="0.25">
      <c r="B1130" s="2" t="s">
        <v>1516</v>
      </c>
      <c r="C1130" s="1"/>
      <c r="D1130" s="1"/>
      <c r="E1130" s="1"/>
      <c r="J1130" t="s">
        <v>530</v>
      </c>
      <c r="K1130" t="str">
        <f t="shared" si="52"/>
        <v xml:space="preserve"> </v>
      </c>
      <c r="L1130" t="str">
        <f t="shared" si="53"/>
        <v>23.5    Medicines used in Disorders due to Psychoactive substance abuse</v>
      </c>
      <c r="AA1130" t="str">
        <f t="shared" si="51"/>
        <v xml:space="preserve"> </v>
      </c>
    </row>
    <row r="1131" spans="2:27" x14ac:dyDescent="0.25">
      <c r="B1131" s="1" t="s">
        <v>1517</v>
      </c>
      <c r="C1131" s="1" t="s">
        <v>416</v>
      </c>
      <c r="D1131" s="1" t="s">
        <v>19</v>
      </c>
      <c r="E1131" s="1" t="s">
        <v>417</v>
      </c>
      <c r="G1131" s="14">
        <v>32917.760000000002</v>
      </c>
      <c r="H1131" s="14" t="s">
        <v>1619</v>
      </c>
      <c r="M1131" t="s">
        <v>1667</v>
      </c>
      <c r="AA1131" t="str">
        <f t="shared" si="51"/>
        <v>Tenecteplase Injection 30 mg/vial</v>
      </c>
    </row>
    <row r="1132" spans="2:27" x14ac:dyDescent="0.25">
      <c r="B1132" s="1" t="s">
        <v>1517</v>
      </c>
      <c r="C1132" s="1" t="s">
        <v>416</v>
      </c>
      <c r="D1132" s="1" t="s">
        <v>19</v>
      </c>
      <c r="E1132" s="1" t="s">
        <v>419</v>
      </c>
      <c r="G1132" s="14">
        <v>44939.44</v>
      </c>
      <c r="H1132" s="14" t="s">
        <v>1619</v>
      </c>
      <c r="M1132" t="s">
        <v>1667</v>
      </c>
      <c r="AA1132" t="str">
        <f t="shared" si="51"/>
        <v>Tenecteplase Injection 40 mg/vial</v>
      </c>
    </row>
    <row r="1133" spans="2:27" x14ac:dyDescent="0.25">
      <c r="B1133" s="1" t="s">
        <v>1518</v>
      </c>
      <c r="C1133" s="1" t="s">
        <v>421</v>
      </c>
      <c r="D1133" s="1" t="s">
        <v>4</v>
      </c>
      <c r="E1133" s="1" t="s">
        <v>76</v>
      </c>
      <c r="AA1133" t="str">
        <f t="shared" si="51"/>
        <v>Teneligliptin Tablet 20 mg</v>
      </c>
    </row>
    <row r="1134" spans="2:27" x14ac:dyDescent="0.25">
      <c r="B1134" s="1" t="s">
        <v>1519</v>
      </c>
      <c r="C1134" s="1" t="s">
        <v>422</v>
      </c>
      <c r="D1134" s="1" t="s">
        <v>19</v>
      </c>
      <c r="E1134" s="1" t="s">
        <v>132</v>
      </c>
      <c r="G1134" s="14">
        <v>43.59</v>
      </c>
      <c r="H1134" s="14" t="s">
        <v>1625</v>
      </c>
      <c r="M1134" t="s">
        <v>735</v>
      </c>
      <c r="N1134" t="s">
        <v>1665</v>
      </c>
      <c r="AA1134" t="str">
        <f t="shared" si="51"/>
        <v>Tenofovir Alafenamide Fumarate (TAF) Tablet 25 mg</v>
      </c>
    </row>
    <row r="1135" spans="2:27" x14ac:dyDescent="0.25">
      <c r="B1135" s="1" t="s">
        <v>1520</v>
      </c>
      <c r="C1135" s="1" t="s">
        <v>424</v>
      </c>
      <c r="D1135" s="1" t="s">
        <v>19</v>
      </c>
      <c r="E1135" s="1" t="s">
        <v>425</v>
      </c>
      <c r="G1135" s="14">
        <v>91.72</v>
      </c>
      <c r="H1135" s="1" t="s">
        <v>1622</v>
      </c>
      <c r="M1135" t="s">
        <v>735</v>
      </c>
      <c r="N1135" t="s">
        <v>1658</v>
      </c>
      <c r="O1135" t="s">
        <v>1659</v>
      </c>
      <c r="AA1135" t="str">
        <f t="shared" si="51"/>
        <v>Tenofovir Disproxil Fumarate (A) + Lamivudine (B) + Efavirenz (C) Tablet 300 mg (A) + 300 mg (B)
+ 600 mg (C)</v>
      </c>
    </row>
    <row r="1136" spans="2:27" x14ac:dyDescent="0.25">
      <c r="B1136" s="1"/>
      <c r="C1136" s="1"/>
      <c r="D1136" s="1"/>
      <c r="E1136" s="1"/>
      <c r="J1136" t="s">
        <v>530</v>
      </c>
      <c r="K1136" t="str">
        <f t="shared" si="52"/>
        <v xml:space="preserve"> </v>
      </c>
      <c r="L1136">
        <f t="shared" si="53"/>
        <v>0</v>
      </c>
      <c r="AA1136" t="str">
        <f t="shared" si="51"/>
        <v xml:space="preserve"> </v>
      </c>
    </row>
    <row r="1137" spans="2:27" x14ac:dyDescent="0.25">
      <c r="B1137" s="2" t="s">
        <v>1521</v>
      </c>
      <c r="C1137" s="1"/>
      <c r="D1137" s="1"/>
      <c r="E1137" s="1"/>
      <c r="J1137" t="s">
        <v>530</v>
      </c>
      <c r="K1137" t="str">
        <f t="shared" si="52"/>
        <v xml:space="preserve"> </v>
      </c>
      <c r="L1137" t="str">
        <f t="shared" si="53"/>
        <v>Section 24 Medicines acting on the Respiratory tract</v>
      </c>
      <c r="AA1137" t="str">
        <f t="shared" si="51"/>
        <v xml:space="preserve"> </v>
      </c>
    </row>
    <row r="1138" spans="2:27" x14ac:dyDescent="0.25">
      <c r="B1138" s="2" t="s">
        <v>1522</v>
      </c>
      <c r="C1138" s="1"/>
      <c r="D1138" s="1"/>
      <c r="E1138" s="1"/>
      <c r="J1138" t="s">
        <v>530</v>
      </c>
      <c r="K1138" t="str">
        <f t="shared" si="52"/>
        <v xml:space="preserve"> </v>
      </c>
      <c r="L1138" t="str">
        <f t="shared" si="53"/>
        <v>24.1 - Antiasthmatic Medicines</v>
      </c>
      <c r="AA1138" t="str">
        <f t="shared" si="51"/>
        <v xml:space="preserve"> </v>
      </c>
    </row>
    <row r="1139" spans="2:27" x14ac:dyDescent="0.25">
      <c r="B1139" s="1" t="s">
        <v>1523</v>
      </c>
      <c r="C1139" s="1" t="s">
        <v>427</v>
      </c>
      <c r="D1139" s="1" t="s">
        <v>4</v>
      </c>
      <c r="E1139" s="1" t="s">
        <v>428</v>
      </c>
      <c r="M1139" t="s">
        <v>735</v>
      </c>
      <c r="N1139" t="s">
        <v>1658</v>
      </c>
      <c r="O1139" t="s">
        <v>1659</v>
      </c>
      <c r="AA1139" t="str">
        <f t="shared" si="51"/>
        <v>Tenofovir Disproxil Fumarate (A) + Lamivudine (B) +
Dolutegravir (C) Tablet 300 mg (A) + 300 mg (B)
+ 50 mg (C)</v>
      </c>
    </row>
    <row r="1140" spans="2:27" x14ac:dyDescent="0.25">
      <c r="B1140" s="1" t="s">
        <v>1524</v>
      </c>
      <c r="C1140" s="1" t="s">
        <v>429</v>
      </c>
      <c r="D1140" s="1" t="s">
        <v>19</v>
      </c>
      <c r="E1140" s="1" t="s">
        <v>430</v>
      </c>
      <c r="G1140" s="14">
        <v>40.65</v>
      </c>
      <c r="H1140" s="1" t="s">
        <v>1622</v>
      </c>
      <c r="M1140" t="s">
        <v>735</v>
      </c>
      <c r="N1140" t="s">
        <v>1658</v>
      </c>
      <c r="O1140" t="s">
        <v>1659</v>
      </c>
      <c r="AA1140" t="str">
        <f t="shared" si="51"/>
        <v>Tenofovir Disproxil Fumarate (A) +
Lamivudine (B) Tablet 300 mg (A) + 300 mg (B)</v>
      </c>
    </row>
    <row r="1141" spans="2:27" x14ac:dyDescent="0.25">
      <c r="B1141" s="1" t="s">
        <v>1525</v>
      </c>
      <c r="C1141" s="1" t="s">
        <v>409</v>
      </c>
      <c r="D1141" s="1" t="s">
        <v>19</v>
      </c>
      <c r="E1141" s="1" t="s">
        <v>278</v>
      </c>
      <c r="G1141" s="14">
        <v>40.880000000000003</v>
      </c>
      <c r="H1141" s="1" t="s">
        <v>1622</v>
      </c>
      <c r="M1141" t="s">
        <v>735</v>
      </c>
      <c r="N1141" t="s">
        <v>1665</v>
      </c>
      <c r="AA1141" t="str">
        <f t="shared" si="51"/>
        <v>Tenofovir Disproxil Fumarate (TDF) Tablet 300 mg</v>
      </c>
    </row>
    <row r="1142" spans="2:27" x14ac:dyDescent="0.25">
      <c r="B1142" s="1" t="s">
        <v>1526</v>
      </c>
      <c r="C1142" s="1" t="s">
        <v>409</v>
      </c>
      <c r="D1142" s="1" t="s">
        <v>19</v>
      </c>
      <c r="E1142" s="1" t="s">
        <v>278</v>
      </c>
      <c r="G1142" s="14">
        <v>40.880000000000003</v>
      </c>
      <c r="H1142" s="1" t="s">
        <v>1622</v>
      </c>
      <c r="M1142" t="s">
        <v>735</v>
      </c>
      <c r="N1142" t="s">
        <v>1658</v>
      </c>
      <c r="O1142" t="s">
        <v>1659</v>
      </c>
      <c r="AA1142" t="str">
        <f t="shared" si="51"/>
        <v>Tenofovir Disproxil Fumarate (TDF) Tablet 300 mg</v>
      </c>
    </row>
    <row r="1143" spans="2:27" x14ac:dyDescent="0.25">
      <c r="B1143" s="1" t="s">
        <v>1527</v>
      </c>
      <c r="C1143" s="1" t="s">
        <v>413</v>
      </c>
      <c r="D1143" s="1" t="s">
        <v>4</v>
      </c>
      <c r="E1143" s="1" t="s">
        <v>414</v>
      </c>
      <c r="M1143" t="s">
        <v>735</v>
      </c>
      <c r="N1143" t="s">
        <v>1656</v>
      </c>
      <c r="AA1143" t="str">
        <f t="shared" si="51"/>
        <v>Terbinafine Cream 1%</v>
      </c>
    </row>
    <row r="1144" spans="2:27" x14ac:dyDescent="0.25">
      <c r="B1144" s="1" t="s">
        <v>1528</v>
      </c>
      <c r="C1144" s="1" t="s">
        <v>1529</v>
      </c>
      <c r="D1144" s="1" t="s">
        <v>4</v>
      </c>
      <c r="E1144" s="1" t="s">
        <v>391</v>
      </c>
      <c r="AA1144" t="str">
        <f t="shared" si="51"/>
        <v>Tetanus toxoid As licensed</v>
      </c>
    </row>
    <row r="1145" spans="2:27" x14ac:dyDescent="0.25">
      <c r="B1145" s="1" t="s">
        <v>1530</v>
      </c>
      <c r="C1145" s="1" t="s">
        <v>1531</v>
      </c>
      <c r="D1145" s="1" t="s">
        <v>8</v>
      </c>
      <c r="E1145" s="1" t="s">
        <v>240</v>
      </c>
      <c r="G1145" s="14">
        <v>55.31</v>
      </c>
      <c r="H1145" s="14" t="s">
        <v>1624</v>
      </c>
      <c r="M1145" t="s">
        <v>1668</v>
      </c>
      <c r="AA1145" t="str">
        <f t="shared" si="51"/>
        <v>Thalidomide Capsule 100 mg</v>
      </c>
    </row>
    <row r="1146" spans="2:27" x14ac:dyDescent="0.25">
      <c r="B1146" s="1" t="s">
        <v>1530</v>
      </c>
      <c r="C1146" s="1" t="s">
        <v>1531</v>
      </c>
      <c r="D1146" s="1" t="s">
        <v>8</v>
      </c>
      <c r="E1146" s="1" t="s">
        <v>371</v>
      </c>
      <c r="G1146" s="14">
        <v>27.79</v>
      </c>
      <c r="H1146" s="14" t="s">
        <v>1624</v>
      </c>
      <c r="M1146" t="s">
        <v>1668</v>
      </c>
      <c r="AA1146" t="str">
        <f t="shared" si="51"/>
        <v>Thalidomide Capsule 50 mg</v>
      </c>
    </row>
    <row r="1147" spans="2:27" x14ac:dyDescent="0.25">
      <c r="B1147" s="1">
        <v>26.7</v>
      </c>
      <c r="C1147" s="1" t="s">
        <v>1532</v>
      </c>
      <c r="D1147" s="1" t="s">
        <v>4</v>
      </c>
      <c r="E1147" s="1" t="s">
        <v>20</v>
      </c>
      <c r="M1147" t="s">
        <v>1676</v>
      </c>
      <c r="AA1147" t="str">
        <f t="shared" si="51"/>
        <v>Thiamine Injection 100 mg/mL</v>
      </c>
    </row>
    <row r="1148" spans="2:27" x14ac:dyDescent="0.25">
      <c r="B1148" s="1">
        <v>26.7</v>
      </c>
      <c r="C1148" s="1" t="s">
        <v>1532</v>
      </c>
      <c r="D1148" s="1" t="s">
        <v>4</v>
      </c>
      <c r="E1148" s="1" t="s">
        <v>29</v>
      </c>
      <c r="G1148" s="14">
        <v>3.98</v>
      </c>
      <c r="H1148" s="1" t="s">
        <v>1622</v>
      </c>
      <c r="M1148" t="s">
        <v>1676</v>
      </c>
      <c r="AA1148" t="str">
        <f t="shared" si="51"/>
        <v>Thiamine Tablet 100 mg</v>
      </c>
    </row>
    <row r="1149" spans="2:27" x14ac:dyDescent="0.25">
      <c r="B1149" s="1" t="s">
        <v>1533</v>
      </c>
      <c r="C1149" s="1" t="s">
        <v>1534</v>
      </c>
      <c r="D1149" s="1" t="s">
        <v>4</v>
      </c>
      <c r="E1149" s="1" t="s">
        <v>1535</v>
      </c>
      <c r="M1149" t="s">
        <v>1630</v>
      </c>
      <c r="N1149" t="s">
        <v>1631</v>
      </c>
      <c r="AA1149" t="str">
        <f t="shared" si="51"/>
        <v xml:space="preserve">Thiopentone Powder for injection 0.5 g </v>
      </c>
    </row>
    <row r="1150" spans="2:27" x14ac:dyDescent="0.25">
      <c r="B1150" s="1" t="s">
        <v>1533</v>
      </c>
      <c r="C1150" s="1" t="s">
        <v>1534</v>
      </c>
      <c r="D1150" s="1" t="s">
        <v>4</v>
      </c>
      <c r="E1150" s="1" t="s">
        <v>1536</v>
      </c>
      <c r="M1150" t="s">
        <v>1630</v>
      </c>
      <c r="N1150" t="s">
        <v>1631</v>
      </c>
      <c r="AA1150" t="str">
        <f t="shared" si="51"/>
        <v>Thiopentone Powder for injection 1 g</v>
      </c>
    </row>
    <row r="1151" spans="2:27" x14ac:dyDescent="0.25">
      <c r="B1151" s="1" t="s">
        <v>1537</v>
      </c>
      <c r="C1151" s="1" t="s">
        <v>1538</v>
      </c>
      <c r="D1151" s="1" t="s">
        <v>4</v>
      </c>
      <c r="E1151" s="1" t="s">
        <v>1539</v>
      </c>
      <c r="M1151" t="s">
        <v>1670</v>
      </c>
      <c r="AA1151" t="str">
        <f t="shared" si="51"/>
        <v>Timolol Drops 0.25 %</v>
      </c>
    </row>
    <row r="1152" spans="2:27" x14ac:dyDescent="0.25">
      <c r="B1152" s="1" t="s">
        <v>1537</v>
      </c>
      <c r="C1152" s="1" t="s">
        <v>1538</v>
      </c>
      <c r="D1152" s="1" t="s">
        <v>4</v>
      </c>
      <c r="E1152" s="1" t="s">
        <v>1399</v>
      </c>
      <c r="G1152" s="14">
        <v>11.95</v>
      </c>
      <c r="H1152" s="1" t="s">
        <v>1622</v>
      </c>
      <c r="M1152" t="s">
        <v>1670</v>
      </c>
      <c r="AA1152" t="str">
        <f t="shared" si="51"/>
        <v>Timolol Drops 0.5 %</v>
      </c>
    </row>
    <row r="1153" spans="2:27" x14ac:dyDescent="0.25">
      <c r="B1153" s="1" t="s">
        <v>1540</v>
      </c>
      <c r="C1153" s="1" t="s">
        <v>1541</v>
      </c>
      <c r="D1153" s="1" t="s">
        <v>4</v>
      </c>
      <c r="E1153" s="1" t="s">
        <v>1542</v>
      </c>
      <c r="M1153" t="s">
        <v>1673</v>
      </c>
      <c r="AA1153" t="str">
        <f t="shared" si="51"/>
        <v>Tiotropium Inhalation (DPI) 18 mcg/dose</v>
      </c>
    </row>
    <row r="1154" spans="2:27" x14ac:dyDescent="0.25">
      <c r="B1154" s="1" t="s">
        <v>1540</v>
      </c>
      <c r="C1154" s="1" t="s">
        <v>1541</v>
      </c>
      <c r="D1154" s="1" t="s">
        <v>4</v>
      </c>
      <c r="E1154" s="1" t="s">
        <v>1543</v>
      </c>
      <c r="M1154" t="s">
        <v>1673</v>
      </c>
      <c r="AA1154" t="str">
        <f t="shared" si="51"/>
        <v>Tiotropium Inhalation (MDI) 9 mcg/dose</v>
      </c>
    </row>
    <row r="1155" spans="2:27" x14ac:dyDescent="0.25">
      <c r="B1155" s="1" t="s">
        <v>1544</v>
      </c>
      <c r="C1155" s="1" t="s">
        <v>1545</v>
      </c>
      <c r="D1155" s="1" t="s">
        <v>19</v>
      </c>
      <c r="E1155" s="1" t="s">
        <v>240</v>
      </c>
      <c r="M1155" t="s">
        <v>1635</v>
      </c>
      <c r="N1155" t="s">
        <v>1637</v>
      </c>
      <c r="AA1155" t="str">
        <f t="shared" si="51"/>
        <v>Tramadol Capsule 100 mg</v>
      </c>
    </row>
    <row r="1156" spans="2:27" x14ac:dyDescent="0.25">
      <c r="B1156" s="1" t="s">
        <v>1544</v>
      </c>
      <c r="C1156" s="1" t="s">
        <v>1545</v>
      </c>
      <c r="D1156" s="1" t="s">
        <v>19</v>
      </c>
      <c r="E1156" s="1" t="s">
        <v>182</v>
      </c>
      <c r="G1156" s="14">
        <v>10.51</v>
      </c>
      <c r="H1156" s="14" t="s">
        <v>1626</v>
      </c>
      <c r="M1156" t="s">
        <v>1635</v>
      </c>
      <c r="N1156" t="s">
        <v>1637</v>
      </c>
      <c r="AA1156" t="str">
        <f t="shared" si="51"/>
        <v>Tramadol Injection 50 mg/mL</v>
      </c>
    </row>
    <row r="1157" spans="2:27" x14ac:dyDescent="0.25">
      <c r="B1157" s="1" t="s">
        <v>1544</v>
      </c>
      <c r="C1157" s="1" t="s">
        <v>1545</v>
      </c>
      <c r="D1157" s="1" t="s">
        <v>19</v>
      </c>
      <c r="E1157" s="1" t="s">
        <v>939</v>
      </c>
      <c r="M1157" t="s">
        <v>1635</v>
      </c>
      <c r="N1157" t="s">
        <v>1637</v>
      </c>
      <c r="AA1157" t="str">
        <f t="shared" si="51"/>
        <v>Tramadol Capsule  50 mg</v>
      </c>
    </row>
    <row r="1158" spans="2:27" x14ac:dyDescent="0.25">
      <c r="B1158" s="1" t="s">
        <v>1546</v>
      </c>
      <c r="C1158" s="1" t="s">
        <v>1545</v>
      </c>
      <c r="D1158" s="1" t="s">
        <v>19</v>
      </c>
      <c r="E1158" s="1" t="s">
        <v>371</v>
      </c>
      <c r="M1158" t="s">
        <v>1668</v>
      </c>
      <c r="AA1158" t="str">
        <f t="shared" si="51"/>
        <v>Tramadol Capsule 50 mg</v>
      </c>
    </row>
    <row r="1159" spans="2:27" x14ac:dyDescent="0.25">
      <c r="B1159" s="1" t="s">
        <v>1546</v>
      </c>
      <c r="C1159" s="1" t="s">
        <v>1545</v>
      </c>
      <c r="D1159" s="1" t="s">
        <v>19</v>
      </c>
      <c r="E1159" s="1" t="s">
        <v>240</v>
      </c>
      <c r="M1159" t="s">
        <v>1668</v>
      </c>
      <c r="AA1159" t="str">
        <f t="shared" si="51"/>
        <v>Tramadol Capsule 100 mg</v>
      </c>
    </row>
    <row r="1160" spans="2:27" x14ac:dyDescent="0.25">
      <c r="B1160" s="1"/>
      <c r="C1160" s="1"/>
      <c r="D1160" s="1"/>
      <c r="E1160" s="1"/>
      <c r="J1160" t="s">
        <v>530</v>
      </c>
      <c r="K1160" t="str">
        <f t="shared" si="52"/>
        <v xml:space="preserve"> </v>
      </c>
      <c r="L1160">
        <f t="shared" si="53"/>
        <v>0</v>
      </c>
      <c r="M1160" t="s">
        <v>1668</v>
      </c>
      <c r="AA1160" t="str">
        <f t="shared" si="51"/>
        <v xml:space="preserve"> </v>
      </c>
    </row>
    <row r="1161" spans="2:27" x14ac:dyDescent="0.25">
      <c r="B1161" s="2" t="s">
        <v>1547</v>
      </c>
      <c r="C1161" s="1"/>
      <c r="D1161" s="1"/>
      <c r="E1161" s="1"/>
      <c r="J1161" t="s">
        <v>530</v>
      </c>
      <c r="K1161" t="str">
        <f t="shared" si="52"/>
        <v xml:space="preserve"> </v>
      </c>
      <c r="L1161" t="str">
        <f t="shared" si="53"/>
        <v>Section 25 Solutions correcting Water, Electrolyte disturbances and Acid-base disturbances</v>
      </c>
      <c r="AA1161" t="str">
        <f t="shared" ref="AA1161:AA1218" si="54">C1161&amp;" "&amp;E1161</f>
        <v xml:space="preserve"> </v>
      </c>
    </row>
    <row r="1162" spans="2:27" x14ac:dyDescent="0.25">
      <c r="B1162" s="1" t="s">
        <v>1546</v>
      </c>
      <c r="C1162" s="1" t="s">
        <v>1545</v>
      </c>
      <c r="D1162" s="1" t="s">
        <v>19</v>
      </c>
      <c r="E1162" s="1" t="s">
        <v>182</v>
      </c>
      <c r="G1162" s="14">
        <v>10.51</v>
      </c>
      <c r="H1162" s="14" t="s">
        <v>1626</v>
      </c>
      <c r="M1162" t="s">
        <v>1668</v>
      </c>
      <c r="AA1162" t="str">
        <f t="shared" si="54"/>
        <v>Tramadol Injection 50 mg/mL</v>
      </c>
    </row>
    <row r="1163" spans="2:27" x14ac:dyDescent="0.25">
      <c r="B1163" s="1" t="s">
        <v>1548</v>
      </c>
      <c r="C1163" s="1" t="s">
        <v>1549</v>
      </c>
      <c r="D1163" s="1" t="s">
        <v>4</v>
      </c>
      <c r="E1163" s="1" t="s">
        <v>85</v>
      </c>
      <c r="G1163" s="14">
        <v>16.54</v>
      </c>
      <c r="H1163" s="1" t="s">
        <v>1622</v>
      </c>
      <c r="M1163" t="s">
        <v>1681</v>
      </c>
      <c r="AA1163" t="str">
        <f t="shared" si="54"/>
        <v>Tranexamic acid Tablet 500 mg</v>
      </c>
    </row>
    <row r="1164" spans="2:27" x14ac:dyDescent="0.25">
      <c r="B1164" s="1" t="s">
        <v>1548</v>
      </c>
      <c r="C1164" s="1" t="s">
        <v>1549</v>
      </c>
      <c r="D1164" s="1" t="s">
        <v>4</v>
      </c>
      <c r="E1164" s="1" t="s">
        <v>20</v>
      </c>
      <c r="G1164" s="14">
        <v>12.23</v>
      </c>
      <c r="H1164" s="1" t="s">
        <v>1622</v>
      </c>
      <c r="M1164" t="s">
        <v>1681</v>
      </c>
      <c r="AA1164" t="str">
        <f t="shared" si="54"/>
        <v>Tranexamic acid Injection 100 mg/mL</v>
      </c>
    </row>
    <row r="1165" spans="2:27" x14ac:dyDescent="0.25">
      <c r="B1165" s="1" t="s">
        <v>1550</v>
      </c>
      <c r="C1165" s="1" t="s">
        <v>1551</v>
      </c>
      <c r="D1165" s="1" t="s">
        <v>8</v>
      </c>
      <c r="E1165" s="1" t="s">
        <v>1552</v>
      </c>
      <c r="G1165" s="14">
        <v>48806.02</v>
      </c>
      <c r="H1165" s="1" t="s">
        <v>1622</v>
      </c>
      <c r="M1165" t="s">
        <v>1668</v>
      </c>
      <c r="AA1165" t="str">
        <f t="shared" si="54"/>
        <v>Trastuzumab Injection 440 mg/50 mL</v>
      </c>
    </row>
    <row r="1166" spans="2:27" x14ac:dyDescent="0.25">
      <c r="B1166" s="1" t="s">
        <v>1553</v>
      </c>
      <c r="C1166" s="1" t="s">
        <v>1554</v>
      </c>
      <c r="D1166" s="1" t="s">
        <v>4</v>
      </c>
      <c r="E1166" s="1" t="s">
        <v>140</v>
      </c>
      <c r="M1166" t="s">
        <v>651</v>
      </c>
      <c r="N1166" t="s">
        <v>1645</v>
      </c>
      <c r="AA1166" t="str">
        <f t="shared" si="54"/>
        <v>Trihexyphenidyl Tablet 2 mg</v>
      </c>
    </row>
    <row r="1167" spans="2:27" x14ac:dyDescent="0.25">
      <c r="B1167" s="1" t="s">
        <v>144</v>
      </c>
      <c r="C1167" s="1" t="s">
        <v>1555</v>
      </c>
      <c r="D1167" s="1" t="s">
        <v>19</v>
      </c>
      <c r="E1167" s="1" t="s">
        <v>1556</v>
      </c>
      <c r="G1167" s="1">
        <v>8.41</v>
      </c>
      <c r="H1167" s="1" t="s">
        <v>1622</v>
      </c>
      <c r="M1167" t="s">
        <v>1684</v>
      </c>
      <c r="AA1167" t="str">
        <f t="shared" si="54"/>
        <v>Tropicamide Eye drop 1 %</v>
      </c>
    </row>
    <row r="1168" spans="2:27" x14ac:dyDescent="0.25">
      <c r="B1168" s="1" t="s">
        <v>647</v>
      </c>
      <c r="C1168" s="1" t="s">
        <v>1555</v>
      </c>
      <c r="D1168" s="1" t="s">
        <v>4</v>
      </c>
      <c r="E1168" s="1" t="s">
        <v>801</v>
      </c>
      <c r="M1168" t="s">
        <v>1670</v>
      </c>
      <c r="AA1168" t="str">
        <f t="shared" si="54"/>
        <v>Tropicamide Drops 1 %</v>
      </c>
    </row>
    <row r="1169" spans="2:27" x14ac:dyDescent="0.25">
      <c r="B1169" s="1" t="s">
        <v>1557</v>
      </c>
      <c r="C1169" s="1" t="s">
        <v>1558</v>
      </c>
      <c r="D1169" s="1" t="s">
        <v>4</v>
      </c>
      <c r="E1169" s="1" t="s">
        <v>609</v>
      </c>
      <c r="AA1169" t="str">
        <f t="shared" si="54"/>
        <v>Tuberculin, Purified Protein derivative As Licensed</v>
      </c>
    </row>
    <row r="1170" spans="2:27" x14ac:dyDescent="0.25">
      <c r="B1170" s="1" t="s">
        <v>1559</v>
      </c>
      <c r="C1170" s="1" t="s">
        <v>432</v>
      </c>
      <c r="D1170" s="1" t="s">
        <v>124</v>
      </c>
      <c r="E1170" s="1" t="s">
        <v>433</v>
      </c>
      <c r="M1170" t="s">
        <v>735</v>
      </c>
      <c r="N1170" t="s">
        <v>1657</v>
      </c>
      <c r="AA1170" t="str">
        <f t="shared" si="54"/>
        <v>Valganciclovir Powder for oral solution 50 mg/mL</v>
      </c>
    </row>
    <row r="1171" spans="2:27" x14ac:dyDescent="0.25">
      <c r="B1171" s="1" t="s">
        <v>1559</v>
      </c>
      <c r="C1171" s="1" t="s">
        <v>432</v>
      </c>
      <c r="D1171" s="1" t="s">
        <v>124</v>
      </c>
      <c r="E1171" s="1" t="s">
        <v>435</v>
      </c>
      <c r="G1171" s="1">
        <v>357.39</v>
      </c>
      <c r="H1171" s="13" t="s">
        <v>1616</v>
      </c>
      <c r="I1171" s="13" t="s">
        <v>1618</v>
      </c>
      <c r="M1171" t="s">
        <v>735</v>
      </c>
      <c r="N1171" t="s">
        <v>1657</v>
      </c>
      <c r="AA1171" t="str">
        <f t="shared" si="54"/>
        <v>Valganciclovir Tablet 450 mg</v>
      </c>
    </row>
    <row r="1172" spans="2:27" x14ac:dyDescent="0.25">
      <c r="B1172" s="1" t="s">
        <v>1560</v>
      </c>
      <c r="C1172" s="1" t="s">
        <v>436</v>
      </c>
      <c r="D1172" s="1" t="s">
        <v>19</v>
      </c>
      <c r="E1172" s="1" t="s">
        <v>437</v>
      </c>
      <c r="G1172" s="1">
        <v>357.39</v>
      </c>
      <c r="H1172" s="13" t="s">
        <v>1616</v>
      </c>
      <c r="I1172" s="13" t="s">
        <v>1618</v>
      </c>
      <c r="M1172" t="s">
        <v>735</v>
      </c>
      <c r="N1172" t="s">
        <v>1658</v>
      </c>
      <c r="O1172" t="s">
        <v>1663</v>
      </c>
      <c r="AA1172" t="str">
        <f t="shared" si="54"/>
        <v>Valganciclovir** Tablet/Capsule 450 mg</v>
      </c>
    </row>
    <row r="1173" spans="2:27" x14ac:dyDescent="0.25">
      <c r="B1173" s="1" t="s">
        <v>1561</v>
      </c>
      <c r="C1173" s="1" t="s">
        <v>439</v>
      </c>
      <c r="D1173" s="1" t="s">
        <v>19</v>
      </c>
      <c r="E1173" s="1" t="s">
        <v>440</v>
      </c>
      <c r="M1173" t="s">
        <v>735</v>
      </c>
      <c r="N1173" t="s">
        <v>1651</v>
      </c>
      <c r="O1173" t="s">
        <v>1652</v>
      </c>
      <c r="AA1173" t="str">
        <f t="shared" si="54"/>
        <v>Vancomycin Capsule 125 mg</v>
      </c>
    </row>
    <row r="1174" spans="2:27" x14ac:dyDescent="0.25">
      <c r="B1174" s="1"/>
      <c r="C1174" s="1"/>
      <c r="D1174" s="1"/>
      <c r="E1174" s="1"/>
      <c r="J1174" t="s">
        <v>530</v>
      </c>
      <c r="K1174" t="str">
        <f t="shared" ref="K1174:K1197" si="55">C1174&amp;" "&amp;E1174</f>
        <v xml:space="preserve"> </v>
      </c>
      <c r="L1174">
        <f t="shared" ref="L1174:L1197" si="56">B1174</f>
        <v>0</v>
      </c>
      <c r="AA1174" t="str">
        <f t="shared" si="54"/>
        <v xml:space="preserve"> </v>
      </c>
    </row>
    <row r="1175" spans="2:27" x14ac:dyDescent="0.25">
      <c r="B1175" s="2" t="s">
        <v>1562</v>
      </c>
      <c r="C1175" s="1"/>
      <c r="D1175" s="1"/>
      <c r="E1175" s="1"/>
      <c r="J1175" t="s">
        <v>530</v>
      </c>
      <c r="K1175" t="str">
        <f t="shared" si="55"/>
        <v xml:space="preserve"> </v>
      </c>
      <c r="L1175" t="str">
        <f t="shared" si="56"/>
        <v>25.2-Miscellaneous</v>
      </c>
      <c r="AA1175" t="str">
        <f t="shared" si="54"/>
        <v xml:space="preserve"> </v>
      </c>
    </row>
    <row r="1176" spans="2:27" x14ac:dyDescent="0.25">
      <c r="B1176" s="1" t="s">
        <v>1561</v>
      </c>
      <c r="C1176" s="1" t="s">
        <v>439</v>
      </c>
      <c r="D1176" s="1" t="s">
        <v>19</v>
      </c>
      <c r="E1176" s="1" t="s">
        <v>120</v>
      </c>
      <c r="M1176" t="s">
        <v>735</v>
      </c>
      <c r="N1176" t="s">
        <v>1651</v>
      </c>
      <c r="O1176" t="s">
        <v>1652</v>
      </c>
      <c r="AA1176" t="str">
        <f t="shared" si="54"/>
        <v>Vancomycin Capsule 250 mg</v>
      </c>
    </row>
    <row r="1177" spans="2:27" x14ac:dyDescent="0.25">
      <c r="B1177" s="1"/>
      <c r="C1177" s="1"/>
      <c r="D1177" s="1"/>
      <c r="E1177" s="1"/>
      <c r="J1177" t="s">
        <v>530</v>
      </c>
      <c r="K1177" t="str">
        <f t="shared" si="55"/>
        <v xml:space="preserve"> </v>
      </c>
      <c r="L1177">
        <f t="shared" si="56"/>
        <v>0</v>
      </c>
      <c r="AA1177" t="str">
        <f t="shared" si="54"/>
        <v xml:space="preserve"> </v>
      </c>
    </row>
    <row r="1178" spans="2:27" x14ac:dyDescent="0.25">
      <c r="B1178" s="2" t="s">
        <v>1563</v>
      </c>
      <c r="C1178" s="1"/>
      <c r="D1178" s="1"/>
      <c r="E1178" s="1"/>
      <c r="J1178" t="s">
        <v>530</v>
      </c>
      <c r="K1178" t="str">
        <f t="shared" si="55"/>
        <v xml:space="preserve"> </v>
      </c>
      <c r="L1178" t="str">
        <f t="shared" si="56"/>
        <v>Section 26 Vitamins and Minerals</v>
      </c>
      <c r="AA1178" t="str">
        <f t="shared" si="54"/>
        <v xml:space="preserve"> </v>
      </c>
    </row>
    <row r="1179" spans="2:27" x14ac:dyDescent="0.25">
      <c r="B1179" s="1" t="s">
        <v>1561</v>
      </c>
      <c r="C1179" s="1" t="s">
        <v>439</v>
      </c>
      <c r="D1179" s="1" t="s">
        <v>19</v>
      </c>
      <c r="E1179" s="1" t="s">
        <v>16</v>
      </c>
      <c r="G1179" s="14">
        <v>224.08</v>
      </c>
      <c r="H1179" s="1" t="s">
        <v>1622</v>
      </c>
      <c r="M1179" t="s">
        <v>735</v>
      </c>
      <c r="N1179" t="s">
        <v>1651</v>
      </c>
      <c r="O1179" t="s">
        <v>1652</v>
      </c>
      <c r="AA1179" t="str">
        <f t="shared" si="54"/>
        <v>Vancomycin Powder for Injection 250 mg</v>
      </c>
    </row>
    <row r="1180" spans="2:27" x14ac:dyDescent="0.25">
      <c r="B1180" s="1" t="s">
        <v>1561</v>
      </c>
      <c r="C1180" s="1" t="s">
        <v>439</v>
      </c>
      <c r="D1180" s="1" t="s">
        <v>19</v>
      </c>
      <c r="E1180" s="1" t="s">
        <v>13</v>
      </c>
      <c r="G1180" s="14">
        <v>283.27999999999997</v>
      </c>
      <c r="H1180" s="1" t="s">
        <v>1622</v>
      </c>
      <c r="M1180" t="s">
        <v>735</v>
      </c>
      <c r="N1180" t="s">
        <v>1651</v>
      </c>
      <c r="O1180" t="s">
        <v>1652</v>
      </c>
      <c r="AA1180" t="str">
        <f t="shared" si="54"/>
        <v xml:space="preserve">Vancomycin Powder for Injection 500 mg </v>
      </c>
    </row>
    <row r="1181" spans="2:27" x14ac:dyDescent="0.25">
      <c r="B1181" s="1" t="s">
        <v>1561</v>
      </c>
      <c r="C1181" s="1" t="s">
        <v>439</v>
      </c>
      <c r="D1181" s="1" t="s">
        <v>19</v>
      </c>
      <c r="E1181" s="1" t="s">
        <v>606</v>
      </c>
      <c r="G1181" s="14">
        <v>419.4</v>
      </c>
      <c r="H1181" s="1" t="s">
        <v>1622</v>
      </c>
      <c r="M1181" t="s">
        <v>735</v>
      </c>
      <c r="N1181" t="s">
        <v>1651</v>
      </c>
      <c r="O1181" t="s">
        <v>1652</v>
      </c>
      <c r="AA1181" t="str">
        <f t="shared" si="54"/>
        <v>Vancomycin Powder for Injection 1000 mg</v>
      </c>
    </row>
    <row r="1182" spans="2:27" x14ac:dyDescent="0.25">
      <c r="B1182" s="1" t="s">
        <v>1564</v>
      </c>
      <c r="C1182" s="1" t="s">
        <v>1565</v>
      </c>
      <c r="D1182" s="1" t="s">
        <v>19</v>
      </c>
      <c r="E1182" s="1" t="s">
        <v>1566</v>
      </c>
      <c r="G1182" s="11">
        <v>104.67</v>
      </c>
      <c r="H1182" s="13" t="s">
        <v>1617</v>
      </c>
      <c r="I1182" s="13" t="s">
        <v>1618</v>
      </c>
      <c r="M1182" t="s">
        <v>1630</v>
      </c>
      <c r="N1182" t="s">
        <v>1634</v>
      </c>
      <c r="AA1182" t="str">
        <f t="shared" si="54"/>
        <v>Vecuronium Powder for injection 10 mg</v>
      </c>
    </row>
    <row r="1183" spans="2:27" x14ac:dyDescent="0.25">
      <c r="B1183" s="1" t="s">
        <v>1564</v>
      </c>
      <c r="C1183" s="1" t="s">
        <v>1565</v>
      </c>
      <c r="D1183" s="1" t="s">
        <v>19</v>
      </c>
      <c r="E1183" s="1" t="s">
        <v>1612</v>
      </c>
      <c r="G1183" s="10">
        <v>66.36</v>
      </c>
      <c r="H1183" s="13" t="s">
        <v>1617</v>
      </c>
      <c r="I1183" s="13" t="s">
        <v>1618</v>
      </c>
      <c r="M1183" t="s">
        <v>1630</v>
      </c>
      <c r="N1183" t="s">
        <v>1634</v>
      </c>
      <c r="AA1183" t="str">
        <f t="shared" si="54"/>
        <v>Vecuronium Powder for injection 4 mg</v>
      </c>
    </row>
    <row r="1184" spans="2:27" x14ac:dyDescent="0.25">
      <c r="B1184" s="1" t="s">
        <v>1567</v>
      </c>
      <c r="C1184" s="1" t="s">
        <v>1568</v>
      </c>
      <c r="D1184" s="1" t="s">
        <v>19</v>
      </c>
      <c r="E1184" s="1" t="s">
        <v>640</v>
      </c>
      <c r="G1184" s="14">
        <v>0.77</v>
      </c>
      <c r="H1184" s="14" t="s">
        <v>1626</v>
      </c>
      <c r="M1184" t="s">
        <v>1667</v>
      </c>
      <c r="AA1184" t="str">
        <f t="shared" si="54"/>
        <v>Verapamil Tablet 40 mg</v>
      </c>
    </row>
    <row r="1185" spans="2:27" x14ac:dyDescent="0.25">
      <c r="B1185" s="1" t="s">
        <v>1567</v>
      </c>
      <c r="C1185" s="1" t="s">
        <v>1568</v>
      </c>
      <c r="D1185" s="1" t="s">
        <v>19</v>
      </c>
      <c r="E1185" s="1" t="s">
        <v>1569</v>
      </c>
      <c r="G1185" s="14">
        <v>1.42</v>
      </c>
      <c r="H1185" s="14" t="s">
        <v>1626</v>
      </c>
      <c r="M1185" t="s">
        <v>1667</v>
      </c>
      <c r="AA1185" t="str">
        <f t="shared" si="54"/>
        <v xml:space="preserve">Verapamil Tablet 80 mg </v>
      </c>
    </row>
    <row r="1186" spans="2:27" ht="15" customHeight="1" x14ac:dyDescent="0.25">
      <c r="B1186" s="1" t="s">
        <v>1567</v>
      </c>
      <c r="C1186" s="1" t="s">
        <v>1568</v>
      </c>
      <c r="D1186" s="1" t="s">
        <v>19</v>
      </c>
      <c r="E1186" s="1" t="s">
        <v>1570</v>
      </c>
      <c r="M1186" t="s">
        <v>1667</v>
      </c>
      <c r="AA1186" t="str">
        <f t="shared" si="54"/>
        <v>Verapamil Injection 2.5 mg/ mL</v>
      </c>
    </row>
    <row r="1187" spans="2:27" x14ac:dyDescent="0.25">
      <c r="B1187" s="1" t="s">
        <v>1571</v>
      </c>
      <c r="C1187" s="1" t="s">
        <v>1572</v>
      </c>
      <c r="D1187" s="1" t="s">
        <v>8</v>
      </c>
      <c r="E1187" s="1" t="s">
        <v>320</v>
      </c>
      <c r="AA1187" t="str">
        <f t="shared" si="54"/>
        <v>Vinblastine Injection 1 mg/mL</v>
      </c>
    </row>
    <row r="1188" spans="2:27" x14ac:dyDescent="0.25">
      <c r="B1188" s="1" t="s">
        <v>1571</v>
      </c>
      <c r="C1188" s="1" t="s">
        <v>1573</v>
      </c>
      <c r="D1188" s="1" t="s">
        <v>8</v>
      </c>
      <c r="E1188" s="1" t="s">
        <v>320</v>
      </c>
      <c r="G1188" s="14">
        <v>51.3</v>
      </c>
      <c r="H1188" s="14" t="s">
        <v>1626</v>
      </c>
      <c r="AA1188" t="str">
        <f t="shared" si="54"/>
        <v>Vincristine Injection 1 mg/mL</v>
      </c>
    </row>
    <row r="1189" spans="2:27" x14ac:dyDescent="0.25">
      <c r="B1189" s="1">
        <v>26.8</v>
      </c>
      <c r="C1189" s="1" t="s">
        <v>459</v>
      </c>
      <c r="D1189" s="1" t="s">
        <v>4</v>
      </c>
      <c r="E1189" s="1" t="s">
        <v>1574</v>
      </c>
      <c r="M1189" t="s">
        <v>1676</v>
      </c>
      <c r="AA1189" t="str">
        <f t="shared" si="54"/>
        <v>Vitamin A Oral liquid 100000 IU/mL</v>
      </c>
    </row>
    <row r="1190" spans="2:27" x14ac:dyDescent="0.25">
      <c r="B1190" s="1">
        <v>26.8</v>
      </c>
      <c r="C1190" s="1" t="s">
        <v>459</v>
      </c>
      <c r="D1190" s="1" t="s">
        <v>4</v>
      </c>
      <c r="E1190" s="1" t="s">
        <v>1575</v>
      </c>
      <c r="M1190" t="s">
        <v>1676</v>
      </c>
      <c r="AA1190" t="str">
        <f t="shared" si="54"/>
        <v>Vitamin A Injection 50000 IU/mL</v>
      </c>
    </row>
    <row r="1191" spans="2:27" x14ac:dyDescent="0.25">
      <c r="B1191" s="1">
        <v>26.8</v>
      </c>
      <c r="C1191" s="1" t="s">
        <v>459</v>
      </c>
      <c r="D1191" s="1" t="s">
        <v>4</v>
      </c>
      <c r="E1191" s="1" t="s">
        <v>1576</v>
      </c>
      <c r="M1191" t="s">
        <v>1676</v>
      </c>
      <c r="AA1191" t="str">
        <f t="shared" si="54"/>
        <v>Vitamin A Capsule/Tablet 50000 IU (including Chewable Tablet)</v>
      </c>
    </row>
    <row r="1192" spans="2:27" x14ac:dyDescent="0.25">
      <c r="B1192" s="1" t="s">
        <v>1577</v>
      </c>
      <c r="C1192" s="1" t="s">
        <v>1578</v>
      </c>
      <c r="D1192" s="1" t="s">
        <v>19</v>
      </c>
      <c r="E1192" s="1" t="s">
        <v>196</v>
      </c>
      <c r="M1192" t="s">
        <v>1681</v>
      </c>
      <c r="AA1192" t="str">
        <f t="shared" si="54"/>
        <v>Warfarin Tablet 1 mg</v>
      </c>
    </row>
    <row r="1193" spans="2:27" x14ac:dyDescent="0.25">
      <c r="B1193" s="1" t="s">
        <v>1577</v>
      </c>
      <c r="C1193" s="1" t="s">
        <v>1578</v>
      </c>
      <c r="D1193" s="1" t="s">
        <v>19</v>
      </c>
      <c r="E1193" s="1" t="s">
        <v>140</v>
      </c>
      <c r="M1193" t="s">
        <v>1681</v>
      </c>
      <c r="AA1193" t="str">
        <f t="shared" si="54"/>
        <v>Warfarin Tablet 2 mg</v>
      </c>
    </row>
    <row r="1194" spans="2:27" x14ac:dyDescent="0.25">
      <c r="B1194" s="1" t="s">
        <v>1577</v>
      </c>
      <c r="C1194" s="1" t="s">
        <v>1578</v>
      </c>
      <c r="D1194" s="1" t="s">
        <v>19</v>
      </c>
      <c r="E1194" s="1" t="s">
        <v>1579</v>
      </c>
      <c r="M1194" t="s">
        <v>1681</v>
      </c>
      <c r="AA1194" t="str">
        <f t="shared" si="54"/>
        <v>Warfarin Tablet 3 mg</v>
      </c>
    </row>
    <row r="1195" spans="2:27" x14ac:dyDescent="0.25">
      <c r="B1195" s="1" t="s">
        <v>1577</v>
      </c>
      <c r="C1195" s="1" t="s">
        <v>1578</v>
      </c>
      <c r="D1195" s="1" t="s">
        <v>19</v>
      </c>
      <c r="E1195" s="1" t="s">
        <v>381</v>
      </c>
      <c r="M1195" t="s">
        <v>1681</v>
      </c>
      <c r="AA1195" t="str">
        <f t="shared" si="54"/>
        <v>Warfarin Tablet 5 mg</v>
      </c>
    </row>
    <row r="1196" spans="2:27" x14ac:dyDescent="0.25">
      <c r="B1196" s="1"/>
      <c r="C1196" s="1"/>
      <c r="D1196" s="1"/>
      <c r="E1196" s="1"/>
      <c r="J1196" t="s">
        <v>530</v>
      </c>
      <c r="K1196" t="str">
        <f t="shared" si="55"/>
        <v xml:space="preserve"> </v>
      </c>
      <c r="L1196">
        <f t="shared" si="56"/>
        <v>0</v>
      </c>
      <c r="AA1196" t="str">
        <f t="shared" si="54"/>
        <v xml:space="preserve"> </v>
      </c>
    </row>
    <row r="1197" spans="2:27" x14ac:dyDescent="0.25">
      <c r="B1197" s="2" t="s">
        <v>1580</v>
      </c>
      <c r="C1197" s="1"/>
      <c r="D1197" s="1"/>
      <c r="E1197" s="1"/>
      <c r="J1197" t="s">
        <v>530</v>
      </c>
      <c r="K1197" t="str">
        <f t="shared" si="55"/>
        <v xml:space="preserve"> </v>
      </c>
      <c r="L1197" t="str">
        <f t="shared" si="56"/>
        <v>Section 27 Medicines for COVID   19 management</v>
      </c>
      <c r="AA1197" t="str">
        <f t="shared" si="54"/>
        <v xml:space="preserve"> </v>
      </c>
    </row>
    <row r="1198" spans="2:27" x14ac:dyDescent="0.25">
      <c r="B1198" s="1" t="s">
        <v>360</v>
      </c>
      <c r="C1198" s="1" t="s">
        <v>1581</v>
      </c>
      <c r="D1198" s="1" t="s">
        <v>4</v>
      </c>
      <c r="E1198" s="1" t="s">
        <v>1582</v>
      </c>
      <c r="AA1198" t="str">
        <f t="shared" si="54"/>
        <v>Water for Injection Injection</v>
      </c>
    </row>
    <row r="1199" spans="2:27" x14ac:dyDescent="0.25">
      <c r="B1199" s="1" t="s">
        <v>1583</v>
      </c>
      <c r="C1199" s="1" t="s">
        <v>1584</v>
      </c>
      <c r="D1199" s="1" t="s">
        <v>19</v>
      </c>
      <c r="E1199" s="1" t="s">
        <v>391</v>
      </c>
      <c r="AA1199" t="str">
        <f t="shared" si="54"/>
        <v>Whole blood As licensed</v>
      </c>
    </row>
    <row r="1200" spans="2:27" x14ac:dyDescent="0.25">
      <c r="B1200" s="1">
        <v>16.399999999999999</v>
      </c>
      <c r="C1200" s="1" t="s">
        <v>1585</v>
      </c>
      <c r="D1200" s="1" t="s">
        <v>4</v>
      </c>
      <c r="E1200" s="1" t="s">
        <v>1586</v>
      </c>
      <c r="G1200" s="14">
        <v>4.57</v>
      </c>
      <c r="H1200" s="14" t="s">
        <v>1626</v>
      </c>
      <c r="M1200" t="s">
        <v>1672</v>
      </c>
      <c r="AA1200" t="str">
        <f t="shared" si="54"/>
        <v>Xylometazoline Nasal drops 0.1 %</v>
      </c>
    </row>
    <row r="1201" spans="2:27" x14ac:dyDescent="0.25">
      <c r="B1201" s="1">
        <v>16.399999999999999</v>
      </c>
      <c r="C1201" s="1" t="s">
        <v>1585</v>
      </c>
      <c r="D1201" s="1" t="s">
        <v>4</v>
      </c>
      <c r="E1201" s="1" t="s">
        <v>1587</v>
      </c>
      <c r="G1201" s="14">
        <v>3.74</v>
      </c>
      <c r="H1201" s="14" t="s">
        <v>1626</v>
      </c>
      <c r="M1201" t="s">
        <v>1672</v>
      </c>
      <c r="AA1201" t="str">
        <f t="shared" si="54"/>
        <v>Xylometazoline Nasal drops 0.05 %</v>
      </c>
    </row>
    <row r="1202" spans="2:27" x14ac:dyDescent="0.25">
      <c r="B1202" s="1" t="s">
        <v>1588</v>
      </c>
      <c r="C1202" s="1" t="s">
        <v>1589</v>
      </c>
      <c r="D1202" s="1" t="s">
        <v>19</v>
      </c>
      <c r="E1202" s="1" t="s">
        <v>740</v>
      </c>
      <c r="M1202" t="s">
        <v>735</v>
      </c>
      <c r="N1202" t="s">
        <v>1658</v>
      </c>
      <c r="O1202" t="s">
        <v>1659</v>
      </c>
      <c r="AA1202" t="str">
        <f t="shared" si="54"/>
        <v>Zidovudine Oral liquid 50 mg/5 mL (p)</v>
      </c>
    </row>
    <row r="1203" spans="2:27" x14ac:dyDescent="0.25">
      <c r="B1203" s="1" t="s">
        <v>1588</v>
      </c>
      <c r="C1203" s="1" t="s">
        <v>1589</v>
      </c>
      <c r="D1203" s="1" t="s">
        <v>19</v>
      </c>
      <c r="E1203" s="1" t="s">
        <v>278</v>
      </c>
      <c r="M1203" t="s">
        <v>735</v>
      </c>
      <c r="N1203" t="s">
        <v>1658</v>
      </c>
      <c r="O1203" t="s">
        <v>1659</v>
      </c>
      <c r="AA1203" t="str">
        <f t="shared" si="54"/>
        <v>Zidovudine Tablet 300 mg</v>
      </c>
    </row>
    <row r="1204" spans="2:27" x14ac:dyDescent="0.25">
      <c r="B1204" s="1" t="s">
        <v>1590</v>
      </c>
      <c r="C1204" s="1" t="s">
        <v>442</v>
      </c>
      <c r="D1204" s="1" t="s">
        <v>19</v>
      </c>
      <c r="E1204" s="1" t="s">
        <v>443</v>
      </c>
      <c r="G1204" s="14">
        <v>18.809999999999999</v>
      </c>
      <c r="H1204" s="14" t="s">
        <v>1624</v>
      </c>
      <c r="M1204" t="s">
        <v>735</v>
      </c>
      <c r="N1204" t="s">
        <v>1658</v>
      </c>
      <c r="O1204" t="s">
        <v>1659</v>
      </c>
      <c r="AA1204" t="str">
        <f t="shared" si="54"/>
        <v>Zidovudine (A) + Lamivudine (B) Tablet 300 mg (A) + 150 mg (B)</v>
      </c>
    </row>
    <row r="1205" spans="2:27" x14ac:dyDescent="0.25">
      <c r="B1205" s="1" t="s">
        <v>1590</v>
      </c>
      <c r="C1205" s="1" t="s">
        <v>442</v>
      </c>
      <c r="D1205" s="1" t="s">
        <v>19</v>
      </c>
      <c r="E1205" s="1" t="s">
        <v>444</v>
      </c>
      <c r="M1205" t="s">
        <v>735</v>
      </c>
      <c r="N1205" t="s">
        <v>1658</v>
      </c>
      <c r="O1205" t="s">
        <v>1659</v>
      </c>
      <c r="AA1205" t="str">
        <f t="shared" si="54"/>
        <v>Zidovudine (A) + Lamivudine (B) Tablet 60 mg (A) + 30 mg (B) (p)</v>
      </c>
    </row>
    <row r="1206" spans="2:27" x14ac:dyDescent="0.25">
      <c r="B1206" s="1" t="s">
        <v>1591</v>
      </c>
      <c r="C1206" s="1" t="s">
        <v>1592</v>
      </c>
      <c r="D1206" s="1" t="s">
        <v>19</v>
      </c>
      <c r="E1206" s="1" t="s">
        <v>1593</v>
      </c>
      <c r="G1206" s="14">
        <v>18.850000000000001</v>
      </c>
      <c r="H1206" s="14" t="s">
        <v>1626</v>
      </c>
      <c r="M1206" t="s">
        <v>735</v>
      </c>
      <c r="N1206" t="s">
        <v>1658</v>
      </c>
      <c r="O1206" t="s">
        <v>1659</v>
      </c>
      <c r="AA1206" t="str">
        <f t="shared" si="54"/>
        <v>Zidovudine (A) + Lamivudine (B) + Nevirapine (C) Tablet 300 mg (A) + 150 mg (B) + 200 mg (C)</v>
      </c>
    </row>
    <row r="1207" spans="2:27" x14ac:dyDescent="0.25">
      <c r="B1207" s="1" t="s">
        <v>1591</v>
      </c>
      <c r="C1207" s="1" t="s">
        <v>1592</v>
      </c>
      <c r="D1207" s="1" t="s">
        <v>19</v>
      </c>
      <c r="E1207" s="1" t="s">
        <v>1594</v>
      </c>
      <c r="M1207" t="s">
        <v>735</v>
      </c>
      <c r="N1207" t="s">
        <v>1658</v>
      </c>
      <c r="O1207" t="s">
        <v>1659</v>
      </c>
      <c r="AA1207" t="str">
        <f t="shared" si="54"/>
        <v>Zidovudine (A) + Lamivudine (B) + Nevirapine (C) Tablet 60 mg (A) + 30 mg (B) + 50 mg (C) (p)</v>
      </c>
    </row>
    <row r="1208" spans="2:27" x14ac:dyDescent="0.25">
      <c r="B1208" s="1" t="s">
        <v>420</v>
      </c>
      <c r="C1208" s="1" t="s">
        <v>1595</v>
      </c>
      <c r="D1208" s="1" t="s">
        <v>4</v>
      </c>
      <c r="E1208" s="1" t="s">
        <v>1596</v>
      </c>
      <c r="AA1208" t="str">
        <f t="shared" si="54"/>
        <v>Zinc Sulphate Dispersible Tablet 20 mg</v>
      </c>
    </row>
    <row r="1209" spans="2:27" x14ac:dyDescent="0.25">
      <c r="B1209" s="1" t="s">
        <v>1597</v>
      </c>
      <c r="C1209" s="1" t="s">
        <v>1598</v>
      </c>
      <c r="D1209" s="1" t="s">
        <v>8</v>
      </c>
      <c r="E1209" s="1" t="s">
        <v>1599</v>
      </c>
      <c r="G1209" s="14">
        <v>2133.3200000000002</v>
      </c>
      <c r="H1209" s="1" t="s">
        <v>1622</v>
      </c>
      <c r="AA1209" t="str">
        <f t="shared" si="54"/>
        <v>Zoledronic acid Powder for Injection 4 mg</v>
      </c>
    </row>
    <row r="1210" spans="2:27" x14ac:dyDescent="0.25">
      <c r="B1210" s="1" t="s">
        <v>1600</v>
      </c>
      <c r="C1210" s="1" t="s">
        <v>1601</v>
      </c>
      <c r="D1210" s="1" t="s">
        <v>4</v>
      </c>
      <c r="E1210" s="1" t="s">
        <v>381</v>
      </c>
      <c r="G1210" s="10">
        <v>5.44</v>
      </c>
      <c r="H1210" s="13" t="s">
        <v>1617</v>
      </c>
      <c r="I1210" s="13" t="s">
        <v>1618</v>
      </c>
      <c r="M1210" t="s">
        <v>1669</v>
      </c>
      <c r="AA1210" t="str">
        <f t="shared" si="54"/>
        <v>Zolpidem Tablet 5 mg</v>
      </c>
    </row>
    <row r="1211" spans="2:27" x14ac:dyDescent="0.25">
      <c r="B1211" s="1" t="s">
        <v>1600</v>
      </c>
      <c r="C1211" s="1" t="s">
        <v>1601</v>
      </c>
      <c r="D1211" s="1" t="s">
        <v>4</v>
      </c>
      <c r="E1211" s="1" t="s">
        <v>220</v>
      </c>
      <c r="G1211" s="10">
        <v>7.59</v>
      </c>
      <c r="H1211" s="13" t="s">
        <v>1617</v>
      </c>
      <c r="I1211" s="13" t="s">
        <v>1618</v>
      </c>
      <c r="M1211" t="s">
        <v>1669</v>
      </c>
      <c r="AA1211" t="str">
        <f t="shared" si="54"/>
        <v>Zolpidem Tablet 10 mg</v>
      </c>
    </row>
    <row r="1212" spans="2:27" x14ac:dyDescent="0.25">
      <c r="AA1212" t="str">
        <f t="shared" si="54"/>
        <v xml:space="preserve"> </v>
      </c>
    </row>
    <row r="1213" spans="2:27" x14ac:dyDescent="0.25">
      <c r="B1213" s="3" t="s">
        <v>1602</v>
      </c>
      <c r="AA1213" t="str">
        <f t="shared" si="54"/>
        <v xml:space="preserve"> </v>
      </c>
    </row>
    <row r="1214" spans="2:27" x14ac:dyDescent="0.25">
      <c r="B1214" s="1">
        <v>28.1</v>
      </c>
      <c r="C1214" s="1"/>
      <c r="D1214" s="1"/>
      <c r="E1214" s="1" t="s">
        <v>1603</v>
      </c>
      <c r="AA1214" t="str">
        <f t="shared" si="54"/>
        <v xml:space="preserve"> Bare Metal Stents (BMS)</v>
      </c>
    </row>
    <row r="1215" spans="2:27" x14ac:dyDescent="0.25">
      <c r="B1215" s="1">
        <v>28.2</v>
      </c>
      <c r="C1215" s="1"/>
      <c r="D1215" s="1"/>
      <c r="E1215" s="1" t="s">
        <v>1604</v>
      </c>
      <c r="AA1215" t="str">
        <f t="shared" si="54"/>
        <v xml:space="preserve"> Drug Eluting Stents (DES) which Include metallic DES and Bioresorable Vascular Scaffold (BVS)/Biodegradable Stents</v>
      </c>
    </row>
    <row r="1216" spans="2:27" x14ac:dyDescent="0.25">
      <c r="AA1216" t="str">
        <f t="shared" si="54"/>
        <v xml:space="preserve"> </v>
      </c>
    </row>
    <row r="1217" spans="2:27" x14ac:dyDescent="0.25">
      <c r="B1217" s="3" t="s">
        <v>1605</v>
      </c>
      <c r="AA1217" t="str">
        <f t="shared" si="54"/>
        <v xml:space="preserve"> </v>
      </c>
    </row>
    <row r="1218" spans="2:27" x14ac:dyDescent="0.25">
      <c r="B1218" s="1">
        <v>29.1</v>
      </c>
      <c r="C1218" s="1"/>
      <c r="D1218" s="1"/>
      <c r="E1218" s="1" t="s">
        <v>1606</v>
      </c>
      <c r="AA1218" t="str">
        <f t="shared" si="54"/>
        <v xml:space="preserve"> Foot and Mouth Disease (Trivalent) Oil adjuvant  Vaccine</v>
      </c>
    </row>
    <row r="1219" spans="2:27" x14ac:dyDescent="0.25">
      <c r="B1219" s="1">
        <v>29.2</v>
      </c>
      <c r="C1219" s="1"/>
      <c r="D1219" s="1"/>
      <c r="E1219" s="1" t="s">
        <v>1607</v>
      </c>
      <c r="AA1219" t="str">
        <f>C1219&amp;" "&amp;E1219</f>
        <v xml:space="preserve"> Brucella Abortus (S19 strain) Vaccine, Live Freeze Dried</v>
      </c>
    </row>
    <row r="1221" spans="2:27" x14ac:dyDescent="0.25">
      <c r="C1221" s="6"/>
    </row>
  </sheetData>
  <autoFilter ref="A8:I122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C22"/>
  <sheetViews>
    <sheetView workbookViewId="0">
      <selection activeCell="C7" sqref="C7"/>
    </sheetView>
  </sheetViews>
  <sheetFormatPr defaultRowHeight="15" x14ac:dyDescent="0.25"/>
  <sheetData>
    <row r="5" spans="2:3" x14ac:dyDescent="0.25">
      <c r="B5">
        <v>21</v>
      </c>
      <c r="C5" t="s">
        <v>1670</v>
      </c>
    </row>
    <row r="6" spans="2:3" x14ac:dyDescent="0.25">
      <c r="B6">
        <v>16</v>
      </c>
      <c r="C6" t="s">
        <v>1672</v>
      </c>
    </row>
    <row r="7" spans="2:3" x14ac:dyDescent="0.25">
      <c r="B7">
        <v>23</v>
      </c>
      <c r="C7" t="s">
        <v>1669</v>
      </c>
    </row>
    <row r="8" spans="2:3" x14ac:dyDescent="0.25">
      <c r="B8">
        <v>10</v>
      </c>
      <c r="C8" t="s">
        <v>1667</v>
      </c>
    </row>
    <row r="9" spans="2:3" x14ac:dyDescent="0.25">
      <c r="B9">
        <v>11</v>
      </c>
      <c r="C9" t="s">
        <v>1671</v>
      </c>
    </row>
    <row r="10" spans="2:3" x14ac:dyDescent="0.25">
      <c r="B10">
        <v>18</v>
      </c>
      <c r="C10" t="s">
        <v>1675</v>
      </c>
    </row>
    <row r="11" spans="2:3" x14ac:dyDescent="0.25">
      <c r="B11">
        <v>17</v>
      </c>
      <c r="C11" t="s">
        <v>1666</v>
      </c>
    </row>
    <row r="12" spans="2:3" x14ac:dyDescent="0.25">
      <c r="B12">
        <v>22</v>
      </c>
      <c r="C12" t="s">
        <v>1679</v>
      </c>
    </row>
    <row r="13" spans="2:3" x14ac:dyDescent="0.25">
      <c r="B13">
        <v>7</v>
      </c>
      <c r="C13" t="s">
        <v>1668</v>
      </c>
    </row>
    <row r="14" spans="2:3" x14ac:dyDescent="0.25">
      <c r="B14">
        <v>19</v>
      </c>
      <c r="C14" t="s">
        <v>1680</v>
      </c>
    </row>
    <row r="15" spans="2:3" x14ac:dyDescent="0.25">
      <c r="B15">
        <v>8</v>
      </c>
      <c r="C15" t="s">
        <v>1681</v>
      </c>
    </row>
    <row r="16" spans="2:3" x14ac:dyDescent="0.25">
      <c r="B16">
        <v>27</v>
      </c>
      <c r="C16" t="s">
        <v>1678</v>
      </c>
    </row>
    <row r="17" spans="2:3" x14ac:dyDescent="0.25">
      <c r="B17">
        <v>15</v>
      </c>
      <c r="C17" t="s">
        <v>1682</v>
      </c>
    </row>
    <row r="18" spans="2:3" x14ac:dyDescent="0.25">
      <c r="B18">
        <v>25</v>
      </c>
      <c r="C18" t="s">
        <v>1683</v>
      </c>
    </row>
    <row r="19" spans="2:3" x14ac:dyDescent="0.25">
      <c r="B19">
        <v>24</v>
      </c>
      <c r="C19" t="s">
        <v>1673</v>
      </c>
    </row>
    <row r="20" spans="2:3" x14ac:dyDescent="0.25">
      <c r="B20">
        <v>12</v>
      </c>
      <c r="C20" t="s">
        <v>1684</v>
      </c>
    </row>
    <row r="21" spans="2:3" x14ac:dyDescent="0.25">
      <c r="B21">
        <v>14</v>
      </c>
      <c r="C21" t="s">
        <v>1685</v>
      </c>
    </row>
    <row r="22" spans="2:3" x14ac:dyDescent="0.25">
      <c r="B22">
        <v>26</v>
      </c>
      <c r="C22" t="s">
        <v>1686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18"/>
  <sheetViews>
    <sheetView workbookViewId="0">
      <selection activeCell="F4" sqref="F4"/>
    </sheetView>
  </sheetViews>
  <sheetFormatPr defaultRowHeight="15" x14ac:dyDescent="0.25"/>
  <cols>
    <col min="4" max="4" width="27.140625" bestFit="1" customWidth="1"/>
    <col min="6" max="6" width="31" bestFit="1" customWidth="1"/>
  </cols>
  <sheetData>
    <row r="3" spans="3:6" ht="45" x14ac:dyDescent="0.25">
      <c r="C3" s="7" t="s">
        <v>1608</v>
      </c>
      <c r="D3" s="7" t="s">
        <v>464</v>
      </c>
      <c r="E3" s="7" t="s">
        <v>507</v>
      </c>
      <c r="F3" s="7" t="s">
        <v>1609</v>
      </c>
    </row>
    <row r="4" spans="3:6" x14ac:dyDescent="0.25">
      <c r="C4" s="8">
        <v>1</v>
      </c>
      <c r="D4" s="1" t="s">
        <v>72</v>
      </c>
      <c r="E4" s="1" t="s">
        <v>4</v>
      </c>
      <c r="F4" s="1" t="s">
        <v>719</v>
      </c>
    </row>
    <row r="5" spans="3:6" x14ac:dyDescent="0.25">
      <c r="C5" s="8">
        <v>2</v>
      </c>
      <c r="D5" s="1" t="s">
        <v>72</v>
      </c>
      <c r="E5" s="1" t="s">
        <v>4</v>
      </c>
      <c r="F5" s="1" t="s">
        <v>720</v>
      </c>
    </row>
    <row r="6" spans="3:6" x14ac:dyDescent="0.25">
      <c r="C6" s="8">
        <v>3</v>
      </c>
      <c r="D6" s="1" t="s">
        <v>1116</v>
      </c>
      <c r="E6" s="1" t="s">
        <v>19</v>
      </c>
      <c r="F6" s="1" t="s">
        <v>1117</v>
      </c>
    </row>
    <row r="7" spans="3:6" x14ac:dyDescent="0.25">
      <c r="C7" s="8">
        <v>4</v>
      </c>
      <c r="D7" s="1" t="s">
        <v>1343</v>
      </c>
      <c r="E7" s="1" t="s">
        <v>4</v>
      </c>
      <c r="F7" s="1" t="s">
        <v>1346</v>
      </c>
    </row>
    <row r="8" spans="3:6" x14ac:dyDescent="0.25">
      <c r="C8" s="8">
        <v>5</v>
      </c>
      <c r="D8" s="1" t="s">
        <v>1480</v>
      </c>
      <c r="E8" s="1" t="s">
        <v>4</v>
      </c>
      <c r="F8" s="1" t="s">
        <v>1482</v>
      </c>
    </row>
    <row r="9" spans="3:6" x14ac:dyDescent="0.25">
      <c r="C9" s="8">
        <v>6</v>
      </c>
      <c r="D9" s="1" t="s">
        <v>1119</v>
      </c>
      <c r="E9" s="1" t="s">
        <v>4</v>
      </c>
      <c r="F9" s="1" t="s">
        <v>1125</v>
      </c>
    </row>
    <row r="10" spans="3:6" x14ac:dyDescent="0.25">
      <c r="C10" s="8">
        <v>7</v>
      </c>
      <c r="D10" s="1" t="s">
        <v>1119</v>
      </c>
      <c r="E10" s="1" t="s">
        <v>4</v>
      </c>
      <c r="F10" s="1" t="s">
        <v>1126</v>
      </c>
    </row>
    <row r="11" spans="3:6" x14ac:dyDescent="0.25">
      <c r="C11" s="8">
        <v>8</v>
      </c>
      <c r="D11" s="1" t="s">
        <v>334</v>
      </c>
      <c r="E11" s="1" t="s">
        <v>19</v>
      </c>
      <c r="F11" s="1" t="s">
        <v>1230</v>
      </c>
    </row>
    <row r="12" spans="3:6" x14ac:dyDescent="0.25">
      <c r="C12" s="8">
        <v>9</v>
      </c>
      <c r="D12" s="1" t="s">
        <v>145</v>
      </c>
      <c r="E12" s="1" t="s">
        <v>4</v>
      </c>
      <c r="F12" s="1" t="s">
        <v>148</v>
      </c>
    </row>
    <row r="13" spans="3:6" x14ac:dyDescent="0.25">
      <c r="C13" s="8">
        <v>10</v>
      </c>
      <c r="D13" s="1" t="s">
        <v>315</v>
      </c>
      <c r="E13" s="1" t="s">
        <v>4</v>
      </c>
      <c r="F13" s="1" t="s">
        <v>319</v>
      </c>
    </row>
    <row r="14" spans="3:6" x14ac:dyDescent="0.25">
      <c r="C14" s="8">
        <v>11</v>
      </c>
      <c r="D14" s="1" t="s">
        <v>299</v>
      </c>
      <c r="E14" s="1" t="s">
        <v>4</v>
      </c>
      <c r="F14" s="1" t="s">
        <v>300</v>
      </c>
    </row>
    <row r="15" spans="3:6" x14ac:dyDescent="0.25">
      <c r="C15" s="8">
        <v>12</v>
      </c>
      <c r="D15" s="1" t="s">
        <v>393</v>
      </c>
      <c r="E15" s="1" t="s">
        <v>4</v>
      </c>
      <c r="F15" s="1" t="s">
        <v>1482</v>
      </c>
    </row>
    <row r="16" spans="3:6" x14ac:dyDescent="0.25">
      <c r="C16" s="8">
        <v>13</v>
      </c>
      <c r="D16" s="1" t="s">
        <v>393</v>
      </c>
      <c r="E16" s="1" t="s">
        <v>4</v>
      </c>
      <c r="F16" s="1" t="s">
        <v>394</v>
      </c>
    </row>
    <row r="17" spans="3:6" x14ac:dyDescent="0.25">
      <c r="C17" s="8">
        <v>14</v>
      </c>
      <c r="D17" s="1" t="s">
        <v>72</v>
      </c>
      <c r="E17" s="1" t="s">
        <v>4</v>
      </c>
      <c r="F17" s="1" t="s">
        <v>719</v>
      </c>
    </row>
    <row r="18" spans="3:6" x14ac:dyDescent="0.25">
      <c r="C18" s="8">
        <v>15</v>
      </c>
      <c r="D18" s="1" t="s">
        <v>72</v>
      </c>
      <c r="E18" s="1" t="s">
        <v>4</v>
      </c>
      <c r="F18" s="1" t="s">
        <v>720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128"/>
  <sheetViews>
    <sheetView zoomScale="110" zoomScaleNormal="11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F81" sqref="F81"/>
    </sheetView>
  </sheetViews>
  <sheetFormatPr defaultRowHeight="15" x14ac:dyDescent="0.25"/>
  <cols>
    <col min="1" max="2" width="2.28515625" customWidth="1"/>
    <col min="4" max="4" width="27.28515625" bestFit="1" customWidth="1"/>
    <col min="6" max="6" width="65.5703125" bestFit="1" customWidth="1"/>
    <col min="7" max="7" width="15.5703125" bestFit="1" customWidth="1"/>
  </cols>
  <sheetData>
    <row r="2" spans="3:7" x14ac:dyDescent="0.25">
      <c r="C2" s="3" t="s">
        <v>1</v>
      </c>
      <c r="D2" s="3"/>
      <c r="E2" s="3"/>
      <c r="F2" s="3"/>
    </row>
    <row r="3" spans="3:7" x14ac:dyDescent="0.25">
      <c r="C3" s="2"/>
      <c r="D3" s="2" t="s">
        <v>464</v>
      </c>
      <c r="E3" s="2"/>
      <c r="F3" s="2" t="s">
        <v>465</v>
      </c>
      <c r="G3" t="s">
        <v>503</v>
      </c>
    </row>
    <row r="4" spans="3:7" x14ac:dyDescent="0.25">
      <c r="C4" s="1" t="s">
        <v>43</v>
      </c>
      <c r="D4" s="1" t="s">
        <v>40</v>
      </c>
      <c r="E4" s="1" t="s">
        <v>19</v>
      </c>
      <c r="F4" s="1" t="s">
        <v>44</v>
      </c>
    </row>
    <row r="5" spans="3:7" x14ac:dyDescent="0.25">
      <c r="C5" s="1" t="s">
        <v>77</v>
      </c>
      <c r="D5" s="1" t="s">
        <v>78</v>
      </c>
      <c r="E5" s="1" t="s">
        <v>4</v>
      </c>
      <c r="F5" s="1" t="s">
        <v>29</v>
      </c>
    </row>
    <row r="6" spans="3:7" x14ac:dyDescent="0.25">
      <c r="C6" s="1" t="s">
        <v>106</v>
      </c>
      <c r="D6" s="1" t="s">
        <v>107</v>
      </c>
      <c r="E6" s="1" t="s">
        <v>4</v>
      </c>
      <c r="F6" s="1" t="s">
        <v>108</v>
      </c>
    </row>
    <row r="7" spans="3:7" x14ac:dyDescent="0.25">
      <c r="C7" s="1" t="s">
        <v>118</v>
      </c>
      <c r="D7" s="1" t="s">
        <v>119</v>
      </c>
      <c r="E7" s="1" t="s">
        <v>4</v>
      </c>
      <c r="F7" s="1" t="s">
        <v>120</v>
      </c>
    </row>
    <row r="8" spans="3:7" x14ac:dyDescent="0.25">
      <c r="C8" s="1" t="s">
        <v>118</v>
      </c>
      <c r="D8" s="1" t="s">
        <v>119</v>
      </c>
      <c r="E8" s="1" t="s">
        <v>4</v>
      </c>
      <c r="F8" s="1" t="s">
        <v>121</v>
      </c>
    </row>
    <row r="9" spans="3:7" x14ac:dyDescent="0.25">
      <c r="C9" s="1" t="s">
        <v>147</v>
      </c>
      <c r="D9" s="1" t="s">
        <v>145</v>
      </c>
      <c r="E9" s="1" t="s">
        <v>4</v>
      </c>
      <c r="F9" s="1" t="s">
        <v>148</v>
      </c>
    </row>
    <row r="10" spans="3:7" ht="60" x14ac:dyDescent="0.25">
      <c r="C10" s="1" t="s">
        <v>180</v>
      </c>
      <c r="D10" s="4" t="s">
        <v>181</v>
      </c>
      <c r="E10" s="1" t="s">
        <v>4</v>
      </c>
      <c r="F10" s="1" t="s">
        <v>182</v>
      </c>
    </row>
    <row r="11" spans="3:7" x14ac:dyDescent="0.25">
      <c r="C11" s="1" t="s">
        <v>197</v>
      </c>
      <c r="D11" s="1" t="s">
        <v>198</v>
      </c>
      <c r="E11" s="1" t="s">
        <v>4</v>
      </c>
      <c r="F11" s="1" t="s">
        <v>199</v>
      </c>
    </row>
    <row r="12" spans="3:7" x14ac:dyDescent="0.25">
      <c r="C12" s="1" t="s">
        <v>211</v>
      </c>
      <c r="D12" s="1" t="s">
        <v>212</v>
      </c>
      <c r="E12" s="1" t="s">
        <v>19</v>
      </c>
      <c r="F12" s="1" t="s">
        <v>213</v>
      </c>
    </row>
    <row r="13" spans="3:7" x14ac:dyDescent="0.25">
      <c r="C13" s="1" t="s">
        <v>211</v>
      </c>
      <c r="D13" s="1" t="s">
        <v>212</v>
      </c>
      <c r="E13" s="1" t="s">
        <v>19</v>
      </c>
      <c r="F13" s="1" t="s">
        <v>1037</v>
      </c>
    </row>
    <row r="14" spans="3:7" x14ac:dyDescent="0.25">
      <c r="C14" s="1" t="s">
        <v>215</v>
      </c>
      <c r="D14" s="1" t="s">
        <v>214</v>
      </c>
      <c r="E14" s="1" t="s">
        <v>4</v>
      </c>
      <c r="F14" s="1" t="s">
        <v>76</v>
      </c>
    </row>
    <row r="15" spans="3:7" x14ac:dyDescent="0.25">
      <c r="C15" s="1" t="s">
        <v>221</v>
      </c>
      <c r="D15" s="1" t="s">
        <v>219</v>
      </c>
      <c r="E15" s="1" t="s">
        <v>4</v>
      </c>
      <c r="F15" s="1" t="s">
        <v>29</v>
      </c>
    </row>
    <row r="16" spans="3:7" x14ac:dyDescent="0.25">
      <c r="C16" s="1" t="s">
        <v>251</v>
      </c>
      <c r="D16" s="1" t="s">
        <v>252</v>
      </c>
      <c r="E16" s="1" t="s">
        <v>19</v>
      </c>
      <c r="F16" s="1" t="s">
        <v>102</v>
      </c>
    </row>
    <row r="17" spans="3:6" x14ac:dyDescent="0.25">
      <c r="C17" s="1" t="s">
        <v>251</v>
      </c>
      <c r="D17" s="1" t="s">
        <v>252</v>
      </c>
      <c r="E17" s="1" t="s">
        <v>19</v>
      </c>
      <c r="F17" s="1" t="s">
        <v>29</v>
      </c>
    </row>
    <row r="18" spans="3:6" x14ac:dyDescent="0.25">
      <c r="C18" s="1" t="s">
        <v>282</v>
      </c>
      <c r="D18" s="1" t="s">
        <v>280</v>
      </c>
      <c r="E18" s="1" t="s">
        <v>19</v>
      </c>
      <c r="F18" s="1" t="s">
        <v>283</v>
      </c>
    </row>
    <row r="19" spans="3:6" x14ac:dyDescent="0.25">
      <c r="C19" s="1" t="s">
        <v>282</v>
      </c>
      <c r="D19" s="1" t="s">
        <v>280</v>
      </c>
      <c r="E19" s="1" t="s">
        <v>19</v>
      </c>
      <c r="F19" s="1" t="s">
        <v>284</v>
      </c>
    </row>
    <row r="20" spans="3:6" x14ac:dyDescent="0.25">
      <c r="C20" s="1" t="s">
        <v>298</v>
      </c>
      <c r="D20" s="1" t="s">
        <v>299</v>
      </c>
      <c r="E20" s="1" t="s">
        <v>4</v>
      </c>
      <c r="F20" s="1" t="s">
        <v>300</v>
      </c>
    </row>
    <row r="21" spans="3:6" x14ac:dyDescent="0.25">
      <c r="C21" s="1" t="s">
        <v>321</v>
      </c>
      <c r="D21" s="1" t="s">
        <v>315</v>
      </c>
      <c r="E21" s="1" t="s">
        <v>4</v>
      </c>
      <c r="F21" s="1" t="s">
        <v>29</v>
      </c>
    </row>
    <row r="22" spans="3:6" x14ac:dyDescent="0.25">
      <c r="C22" s="1" t="s">
        <v>321</v>
      </c>
      <c r="D22" s="1" t="s">
        <v>315</v>
      </c>
      <c r="E22" s="1" t="s">
        <v>4</v>
      </c>
      <c r="F22" s="1" t="s">
        <v>319</v>
      </c>
    </row>
    <row r="23" spans="3:6" x14ac:dyDescent="0.25">
      <c r="C23" s="1" t="s">
        <v>321</v>
      </c>
      <c r="D23" s="1" t="s">
        <v>315</v>
      </c>
      <c r="E23" s="1" t="s">
        <v>19</v>
      </c>
      <c r="F23" s="1" t="s">
        <v>320</v>
      </c>
    </row>
    <row r="24" spans="3:6" x14ac:dyDescent="0.25">
      <c r="C24" s="1" t="s">
        <v>322</v>
      </c>
      <c r="D24" s="1" t="s">
        <v>323</v>
      </c>
      <c r="E24" s="1" t="s">
        <v>4</v>
      </c>
      <c r="F24" s="1" t="s">
        <v>325</v>
      </c>
    </row>
    <row r="25" spans="3:6" x14ac:dyDescent="0.25">
      <c r="C25" s="1" t="s">
        <v>322</v>
      </c>
      <c r="D25" s="1" t="s">
        <v>323</v>
      </c>
      <c r="E25" s="1" t="s">
        <v>4</v>
      </c>
      <c r="F25" s="1" t="s">
        <v>326</v>
      </c>
    </row>
    <row r="26" spans="3:6" x14ac:dyDescent="0.25">
      <c r="C26" s="1">
        <v>26.6</v>
      </c>
      <c r="D26" s="1" t="s">
        <v>380</v>
      </c>
      <c r="E26" s="1" t="s">
        <v>4</v>
      </c>
      <c r="F26" s="1" t="s">
        <v>220</v>
      </c>
    </row>
    <row r="27" spans="3:6" x14ac:dyDescent="0.25">
      <c r="C27" s="1">
        <v>16.2</v>
      </c>
      <c r="D27" s="1" t="s">
        <v>407</v>
      </c>
      <c r="E27" s="1" t="s">
        <v>19</v>
      </c>
      <c r="F27" s="1" t="s">
        <v>21</v>
      </c>
    </row>
    <row r="28" spans="3:6" ht="45" x14ac:dyDescent="0.25">
      <c r="C28" s="1" t="s">
        <v>423</v>
      </c>
      <c r="D28" s="4" t="s">
        <v>424</v>
      </c>
      <c r="E28" s="1" t="s">
        <v>19</v>
      </c>
      <c r="F28" s="1" t="s">
        <v>425</v>
      </c>
    </row>
    <row r="29" spans="3:6" ht="45" x14ac:dyDescent="0.25">
      <c r="C29" s="1" t="s">
        <v>426</v>
      </c>
      <c r="D29" s="4" t="s">
        <v>427</v>
      </c>
      <c r="E29" s="1" t="s">
        <v>4</v>
      </c>
      <c r="F29" s="1" t="s">
        <v>428</v>
      </c>
    </row>
    <row r="30" spans="3:6" ht="45" x14ac:dyDescent="0.25">
      <c r="C30" s="1"/>
      <c r="D30" s="4" t="s">
        <v>429</v>
      </c>
      <c r="E30" s="1" t="s">
        <v>19</v>
      </c>
      <c r="F30" s="1" t="s">
        <v>430</v>
      </c>
    </row>
    <row r="31" spans="3:6" x14ac:dyDescent="0.25">
      <c r="C31" s="1" t="s">
        <v>431</v>
      </c>
      <c r="D31" s="1" t="s">
        <v>432</v>
      </c>
      <c r="E31" s="1" t="s">
        <v>124</v>
      </c>
      <c r="F31" s="1" t="s">
        <v>433</v>
      </c>
    </row>
    <row r="32" spans="3:6" x14ac:dyDescent="0.25">
      <c r="C32" s="1" t="s">
        <v>434</v>
      </c>
      <c r="D32" s="1" t="s">
        <v>432</v>
      </c>
      <c r="E32" s="1" t="s">
        <v>124</v>
      </c>
      <c r="F32" s="1" t="s">
        <v>435</v>
      </c>
    </row>
    <row r="33" spans="3:6" x14ac:dyDescent="0.25">
      <c r="C33" s="1"/>
      <c r="D33" s="1" t="s">
        <v>436</v>
      </c>
      <c r="E33" s="1" t="s">
        <v>19</v>
      </c>
      <c r="F33" s="1" t="s">
        <v>437</v>
      </c>
    </row>
    <row r="34" spans="3:6" x14ac:dyDescent="0.25">
      <c r="C34" s="1" t="s">
        <v>2</v>
      </c>
      <c r="D34" s="1" t="s">
        <v>3</v>
      </c>
      <c r="E34" s="1" t="s">
        <v>4</v>
      </c>
      <c r="F34" s="1" t="s">
        <v>5</v>
      </c>
    </row>
    <row r="35" spans="3:6" x14ac:dyDescent="0.25">
      <c r="C35" s="1" t="s">
        <v>17</v>
      </c>
      <c r="D35" s="1" t="s">
        <v>18</v>
      </c>
      <c r="E35" s="1" t="s">
        <v>19</v>
      </c>
      <c r="F35" s="1" t="s">
        <v>20</v>
      </c>
    </row>
    <row r="36" spans="3:6" x14ac:dyDescent="0.25">
      <c r="C36" s="1" t="s">
        <v>17</v>
      </c>
      <c r="D36" s="1" t="s">
        <v>18</v>
      </c>
      <c r="E36" s="1" t="s">
        <v>19</v>
      </c>
      <c r="F36" s="1" t="s">
        <v>21</v>
      </c>
    </row>
    <row r="37" spans="3:6" x14ac:dyDescent="0.25">
      <c r="C37" s="1" t="s">
        <v>17</v>
      </c>
      <c r="D37" s="1" t="s">
        <v>18</v>
      </c>
      <c r="E37" s="1" t="s">
        <v>19</v>
      </c>
      <c r="F37" s="1" t="s">
        <v>22</v>
      </c>
    </row>
    <row r="38" spans="3:6" x14ac:dyDescent="0.25">
      <c r="C38" s="1" t="s">
        <v>11</v>
      </c>
      <c r="D38" s="1" t="s">
        <v>12</v>
      </c>
      <c r="E38" s="1" t="s">
        <v>4</v>
      </c>
      <c r="F38" s="1" t="s">
        <v>13</v>
      </c>
    </row>
    <row r="39" spans="3:6" x14ac:dyDescent="0.25">
      <c r="C39" s="1" t="s">
        <v>11</v>
      </c>
      <c r="D39" s="1" t="s">
        <v>12</v>
      </c>
      <c r="E39" s="1" t="s">
        <v>4</v>
      </c>
      <c r="F39" s="1" t="s">
        <v>14</v>
      </c>
    </row>
    <row r="40" spans="3:6" x14ac:dyDescent="0.25">
      <c r="C40" s="1" t="s">
        <v>11</v>
      </c>
      <c r="D40" s="1" t="s">
        <v>12</v>
      </c>
      <c r="E40" s="1" t="s">
        <v>4</v>
      </c>
      <c r="F40" s="1" t="s">
        <v>15</v>
      </c>
    </row>
    <row r="41" spans="3:6" x14ac:dyDescent="0.25">
      <c r="C41" s="1" t="s">
        <v>11</v>
      </c>
      <c r="D41" s="1" t="s">
        <v>12</v>
      </c>
      <c r="E41" s="1" t="s">
        <v>4</v>
      </c>
      <c r="F41" s="1" t="s">
        <v>16</v>
      </c>
    </row>
    <row r="42" spans="3:6" x14ac:dyDescent="0.25">
      <c r="C42" s="1" t="s">
        <v>30</v>
      </c>
      <c r="D42" s="1" t="s">
        <v>31</v>
      </c>
      <c r="E42" s="1" t="s">
        <v>4</v>
      </c>
      <c r="F42" s="1" t="s">
        <v>32</v>
      </c>
    </row>
    <row r="43" spans="3:6" x14ac:dyDescent="0.25">
      <c r="C43" s="1" t="s">
        <v>33</v>
      </c>
      <c r="D43" s="1" t="s">
        <v>34</v>
      </c>
      <c r="E43" s="1" t="s">
        <v>19</v>
      </c>
      <c r="F43" s="1" t="s">
        <v>35</v>
      </c>
    </row>
    <row r="44" spans="3:6" x14ac:dyDescent="0.25">
      <c r="C44" s="1" t="s">
        <v>36</v>
      </c>
      <c r="D44" s="1" t="s">
        <v>37</v>
      </c>
      <c r="E44" s="1" t="s">
        <v>4</v>
      </c>
      <c r="F44" s="1" t="s">
        <v>38</v>
      </c>
    </row>
    <row r="45" spans="3:6" x14ac:dyDescent="0.25">
      <c r="C45" s="1" t="s">
        <v>45</v>
      </c>
      <c r="D45" s="1" t="s">
        <v>46</v>
      </c>
      <c r="E45" s="1" t="s">
        <v>8</v>
      </c>
      <c r="F45" s="1" t="s">
        <v>29</v>
      </c>
    </row>
    <row r="46" spans="3:6" x14ac:dyDescent="0.25">
      <c r="C46" s="1" t="s">
        <v>47</v>
      </c>
      <c r="D46" s="1" t="s">
        <v>48</v>
      </c>
      <c r="E46" s="1" t="s">
        <v>8</v>
      </c>
      <c r="F46" s="1" t="s">
        <v>49</v>
      </c>
    </row>
    <row r="47" spans="3:6" x14ac:dyDescent="0.25">
      <c r="C47" s="1" t="s">
        <v>47</v>
      </c>
      <c r="D47" s="1" t="s">
        <v>48</v>
      </c>
      <c r="E47" s="1" t="s">
        <v>8</v>
      </c>
      <c r="F47" s="1" t="s">
        <v>50</v>
      </c>
    </row>
    <row r="48" spans="3:6" x14ac:dyDescent="0.25">
      <c r="C48" s="1" t="s">
        <v>51</v>
      </c>
      <c r="D48" s="1" t="s">
        <v>52</v>
      </c>
      <c r="E48" s="1" t="s">
        <v>4</v>
      </c>
      <c r="F48" s="1" t="s">
        <v>53</v>
      </c>
    </row>
    <row r="49" spans="3:6" x14ac:dyDescent="0.25">
      <c r="C49" s="1" t="s">
        <v>54</v>
      </c>
      <c r="D49" s="1" t="s">
        <v>55</v>
      </c>
      <c r="E49" s="1" t="s">
        <v>4</v>
      </c>
      <c r="F49" s="1" t="s">
        <v>56</v>
      </c>
    </row>
    <row r="50" spans="3:6" x14ac:dyDescent="0.25">
      <c r="C50" s="1" t="s">
        <v>60</v>
      </c>
      <c r="D50" s="1" t="s">
        <v>61</v>
      </c>
      <c r="E50" s="1" t="s">
        <v>4</v>
      </c>
      <c r="F50" s="1" t="s">
        <v>62</v>
      </c>
    </row>
    <row r="51" spans="3:6" x14ac:dyDescent="0.25">
      <c r="C51" s="1" t="s">
        <v>63</v>
      </c>
      <c r="D51" s="1" t="s">
        <v>64</v>
      </c>
      <c r="E51" s="1" t="s">
        <v>4</v>
      </c>
      <c r="F51" s="1" t="s">
        <v>65</v>
      </c>
    </row>
    <row r="52" spans="3:6" x14ac:dyDescent="0.25">
      <c r="C52" s="1" t="s">
        <v>63</v>
      </c>
      <c r="D52" s="1" t="s">
        <v>64</v>
      </c>
      <c r="E52" s="1" t="s">
        <v>4</v>
      </c>
      <c r="F52" s="1" t="s">
        <v>66</v>
      </c>
    </row>
    <row r="53" spans="3:6" x14ac:dyDescent="0.25">
      <c r="C53" s="1" t="s">
        <v>74</v>
      </c>
      <c r="D53" s="1" t="s">
        <v>75</v>
      </c>
      <c r="E53" s="1" t="s">
        <v>4</v>
      </c>
      <c r="F53" s="1" t="s">
        <v>76</v>
      </c>
    </row>
    <row r="54" spans="3:6" x14ac:dyDescent="0.25">
      <c r="C54" s="1" t="s">
        <v>80</v>
      </c>
      <c r="D54" s="1" t="s">
        <v>81</v>
      </c>
      <c r="E54" s="1" t="s">
        <v>4</v>
      </c>
      <c r="F54" s="1" t="s">
        <v>82</v>
      </c>
    </row>
    <row r="55" spans="3:6" x14ac:dyDescent="0.25">
      <c r="C55" s="1" t="s">
        <v>83</v>
      </c>
      <c r="D55" s="1" t="s">
        <v>84</v>
      </c>
      <c r="E55" s="1" t="s">
        <v>4</v>
      </c>
      <c r="F55" s="1" t="s">
        <v>85</v>
      </c>
    </row>
    <row r="56" spans="3:6" x14ac:dyDescent="0.25">
      <c r="C56" s="1" t="s">
        <v>83</v>
      </c>
      <c r="D56" s="1" t="s">
        <v>84</v>
      </c>
      <c r="E56" s="1" t="s">
        <v>4</v>
      </c>
      <c r="F56" s="1" t="s">
        <v>86</v>
      </c>
    </row>
    <row r="57" spans="3:6" x14ac:dyDescent="0.25">
      <c r="C57" s="1" t="s">
        <v>83</v>
      </c>
      <c r="D57" s="1" t="s">
        <v>84</v>
      </c>
      <c r="E57" s="1" t="s">
        <v>4</v>
      </c>
      <c r="F57" s="1" t="s">
        <v>87</v>
      </c>
    </row>
    <row r="58" spans="3:6" x14ac:dyDescent="0.25">
      <c r="C58" s="1" t="s">
        <v>94</v>
      </c>
      <c r="D58" s="1" t="s">
        <v>95</v>
      </c>
      <c r="E58" s="1" t="s">
        <v>19</v>
      </c>
      <c r="F58" s="1" t="s">
        <v>96</v>
      </c>
    </row>
    <row r="59" spans="3:6" x14ac:dyDescent="0.25">
      <c r="C59" s="1" t="s">
        <v>97</v>
      </c>
      <c r="D59" s="1" t="s">
        <v>98</v>
      </c>
      <c r="E59" s="1" t="s">
        <v>4</v>
      </c>
      <c r="F59" s="1" t="s">
        <v>99</v>
      </c>
    </row>
    <row r="60" spans="3:6" x14ac:dyDescent="0.25">
      <c r="C60" s="1" t="s">
        <v>100</v>
      </c>
      <c r="D60" s="1" t="s">
        <v>101</v>
      </c>
      <c r="E60" s="1" t="s">
        <v>4</v>
      </c>
      <c r="F60" s="1" t="s">
        <v>102</v>
      </c>
    </row>
    <row r="61" spans="3:6" x14ac:dyDescent="0.25">
      <c r="C61" s="1" t="s">
        <v>122</v>
      </c>
      <c r="D61" s="1" t="s">
        <v>123</v>
      </c>
      <c r="E61" s="1" t="s">
        <v>124</v>
      </c>
      <c r="F61" s="1" t="s">
        <v>125</v>
      </c>
    </row>
    <row r="62" spans="3:6" x14ac:dyDescent="0.25">
      <c r="C62" s="1" t="s">
        <v>122</v>
      </c>
      <c r="D62" s="1" t="s">
        <v>123</v>
      </c>
      <c r="E62" s="1" t="s">
        <v>124</v>
      </c>
      <c r="F62" s="1" t="s">
        <v>102</v>
      </c>
    </row>
    <row r="63" spans="3:6" x14ac:dyDescent="0.25">
      <c r="C63" s="1" t="s">
        <v>126</v>
      </c>
      <c r="D63" s="1" t="s">
        <v>127</v>
      </c>
      <c r="E63" s="1" t="s">
        <v>19</v>
      </c>
      <c r="F63" s="1" t="s">
        <v>128</v>
      </c>
    </row>
    <row r="64" spans="3:6" x14ac:dyDescent="0.25">
      <c r="C64" s="1" t="s">
        <v>126</v>
      </c>
      <c r="D64" s="1" t="s">
        <v>127</v>
      </c>
      <c r="E64" s="1" t="s">
        <v>19</v>
      </c>
      <c r="F64" s="1" t="s">
        <v>129</v>
      </c>
    </row>
    <row r="65" spans="3:6" x14ac:dyDescent="0.25">
      <c r="C65" s="1" t="s">
        <v>133</v>
      </c>
      <c r="D65" s="1" t="s">
        <v>134</v>
      </c>
      <c r="E65" s="1" t="s">
        <v>19</v>
      </c>
      <c r="F65" s="1" t="s">
        <v>135</v>
      </c>
    </row>
    <row r="66" spans="3:6" x14ac:dyDescent="0.25">
      <c r="C66" s="1" t="s">
        <v>136</v>
      </c>
      <c r="D66" s="1" t="s">
        <v>137</v>
      </c>
      <c r="E66" s="1" t="s">
        <v>8</v>
      </c>
      <c r="F66" s="1" t="s">
        <v>28</v>
      </c>
    </row>
    <row r="67" spans="3:6" x14ac:dyDescent="0.25">
      <c r="C67" s="1">
        <v>3.3</v>
      </c>
      <c r="D67" s="1" t="s">
        <v>138</v>
      </c>
      <c r="E67" s="1" t="s">
        <v>4</v>
      </c>
      <c r="F67" s="1" t="s">
        <v>139</v>
      </c>
    </row>
    <row r="68" spans="3:6" x14ac:dyDescent="0.25">
      <c r="C68" s="1">
        <v>3.3</v>
      </c>
      <c r="D68" s="1" t="s">
        <v>138</v>
      </c>
      <c r="E68" s="1" t="s">
        <v>4</v>
      </c>
      <c r="F68" s="1" t="s">
        <v>140</v>
      </c>
    </row>
    <row r="69" spans="3:6" x14ac:dyDescent="0.25">
      <c r="C69" s="1">
        <v>3.3</v>
      </c>
      <c r="D69" s="1" t="s">
        <v>138</v>
      </c>
      <c r="E69" s="1" t="s">
        <v>4</v>
      </c>
      <c r="F69" s="1" t="s">
        <v>141</v>
      </c>
    </row>
    <row r="70" spans="3:6" x14ac:dyDescent="0.25">
      <c r="C70" s="1" t="s">
        <v>151</v>
      </c>
      <c r="D70" s="1" t="s">
        <v>152</v>
      </c>
      <c r="E70" s="1" t="s">
        <v>19</v>
      </c>
      <c r="F70" s="1" t="s">
        <v>28</v>
      </c>
    </row>
    <row r="71" spans="3:6" x14ac:dyDescent="0.25">
      <c r="C71" s="1" t="s">
        <v>153</v>
      </c>
      <c r="D71" s="1" t="s">
        <v>154</v>
      </c>
      <c r="E71" s="1" t="s">
        <v>4</v>
      </c>
      <c r="F71" s="1" t="s">
        <v>155</v>
      </c>
    </row>
    <row r="72" spans="3:6" x14ac:dyDescent="0.25">
      <c r="C72" s="1" t="s">
        <v>162</v>
      </c>
      <c r="D72" s="1" t="s">
        <v>163</v>
      </c>
      <c r="E72" s="1" t="s">
        <v>19</v>
      </c>
      <c r="F72" s="1" t="s">
        <v>164</v>
      </c>
    </row>
    <row r="73" spans="3:6" x14ac:dyDescent="0.25">
      <c r="C73" s="1" t="s">
        <v>178</v>
      </c>
      <c r="D73" s="1" t="s">
        <v>179</v>
      </c>
      <c r="E73" s="1" t="s">
        <v>4</v>
      </c>
      <c r="F73" s="1" t="s">
        <v>28</v>
      </c>
    </row>
    <row r="74" spans="3:6" x14ac:dyDescent="0.25">
      <c r="C74" s="1" t="s">
        <v>186</v>
      </c>
      <c r="D74" s="1" t="s">
        <v>187</v>
      </c>
      <c r="E74" s="1" t="s">
        <v>19</v>
      </c>
      <c r="F74" s="1" t="s">
        <v>188</v>
      </c>
    </row>
    <row r="75" spans="3:6" x14ac:dyDescent="0.25">
      <c r="C75" s="1" t="s">
        <v>189</v>
      </c>
      <c r="D75" s="1" t="s">
        <v>190</v>
      </c>
      <c r="E75" s="1" t="s">
        <v>19</v>
      </c>
      <c r="F75" s="1" t="s">
        <v>191</v>
      </c>
    </row>
    <row r="76" spans="3:6" x14ac:dyDescent="0.25">
      <c r="C76" s="1" t="s">
        <v>194</v>
      </c>
      <c r="D76" s="1" t="s">
        <v>195</v>
      </c>
      <c r="E76" s="1" t="s">
        <v>4</v>
      </c>
      <c r="F76" s="1" t="s">
        <v>196</v>
      </c>
    </row>
    <row r="77" spans="3:6" x14ac:dyDescent="0.25">
      <c r="C77" s="1" t="s">
        <v>209</v>
      </c>
      <c r="D77" s="1" t="s">
        <v>210</v>
      </c>
      <c r="E77" s="1" t="s">
        <v>19</v>
      </c>
      <c r="F77" s="1" t="s">
        <v>140</v>
      </c>
    </row>
    <row r="78" spans="3:6" x14ac:dyDescent="0.25">
      <c r="C78" s="1" t="s">
        <v>222</v>
      </c>
      <c r="D78" s="1" t="s">
        <v>223</v>
      </c>
      <c r="E78" s="1" t="s">
        <v>4</v>
      </c>
      <c r="F78" s="1" t="s">
        <v>224</v>
      </c>
    </row>
    <row r="79" spans="3:6" x14ac:dyDescent="0.25">
      <c r="C79" s="1" t="s">
        <v>225</v>
      </c>
      <c r="D79" s="1" t="s">
        <v>226</v>
      </c>
      <c r="E79" s="1" t="s">
        <v>8</v>
      </c>
      <c r="F79" s="1" t="s">
        <v>227</v>
      </c>
    </row>
    <row r="80" spans="3:6" x14ac:dyDescent="0.25">
      <c r="C80" s="1" t="s">
        <v>236</v>
      </c>
      <c r="D80" s="1" t="s">
        <v>237</v>
      </c>
      <c r="E80" s="1" t="s">
        <v>19</v>
      </c>
      <c r="F80" s="1" t="s">
        <v>238</v>
      </c>
    </row>
    <row r="81" spans="3:6" x14ac:dyDescent="0.25">
      <c r="C81" s="1" t="s">
        <v>236</v>
      </c>
      <c r="D81" s="1" t="s">
        <v>237</v>
      </c>
      <c r="E81" s="1" t="s">
        <v>19</v>
      </c>
      <c r="F81" s="1" t="s">
        <v>239</v>
      </c>
    </row>
    <row r="82" spans="3:6" x14ac:dyDescent="0.25">
      <c r="C82" s="1" t="s">
        <v>236</v>
      </c>
      <c r="D82" s="1" t="s">
        <v>237</v>
      </c>
      <c r="E82" s="1" t="s">
        <v>19</v>
      </c>
      <c r="F82" s="1" t="s">
        <v>240</v>
      </c>
    </row>
    <row r="83" spans="3:6" x14ac:dyDescent="0.25">
      <c r="C83" s="1" t="s">
        <v>241</v>
      </c>
      <c r="D83" s="1" t="s">
        <v>242</v>
      </c>
      <c r="E83" s="1" t="s">
        <v>4</v>
      </c>
      <c r="F83" s="1" t="s">
        <v>243</v>
      </c>
    </row>
    <row r="84" spans="3:6" x14ac:dyDescent="0.25">
      <c r="C84" s="1" t="s">
        <v>241</v>
      </c>
      <c r="D84" s="1" t="s">
        <v>242</v>
      </c>
      <c r="E84" s="1" t="s">
        <v>4</v>
      </c>
      <c r="F84" s="1" t="s">
        <v>244</v>
      </c>
    </row>
    <row r="85" spans="3:6" x14ac:dyDescent="0.25">
      <c r="C85" s="1" t="s">
        <v>249</v>
      </c>
      <c r="D85" s="1" t="s">
        <v>250</v>
      </c>
      <c r="E85" s="1" t="s">
        <v>4</v>
      </c>
      <c r="F85" s="1" t="s">
        <v>28</v>
      </c>
    </row>
    <row r="86" spans="3:6" x14ac:dyDescent="0.25">
      <c r="C86" s="1" t="s">
        <v>249</v>
      </c>
      <c r="D86" s="1" t="s">
        <v>250</v>
      </c>
      <c r="E86" s="1" t="s">
        <v>4</v>
      </c>
      <c r="F86" s="1" t="s">
        <v>29</v>
      </c>
    </row>
    <row r="87" spans="3:6" x14ac:dyDescent="0.25">
      <c r="C87" s="1" t="s">
        <v>261</v>
      </c>
      <c r="D87" s="1" t="s">
        <v>262</v>
      </c>
      <c r="E87" s="1" t="s">
        <v>4</v>
      </c>
      <c r="F87" s="1" t="s">
        <v>263</v>
      </c>
    </row>
    <row r="88" spans="3:6" x14ac:dyDescent="0.25">
      <c r="C88" s="1" t="s">
        <v>264</v>
      </c>
      <c r="D88" s="1" t="s">
        <v>265</v>
      </c>
      <c r="E88" s="1" t="s">
        <v>8</v>
      </c>
      <c r="F88" s="1" t="s">
        <v>266</v>
      </c>
    </row>
    <row r="89" spans="3:6" x14ac:dyDescent="0.25">
      <c r="C89" s="1" t="s">
        <v>264</v>
      </c>
      <c r="D89" s="1" t="s">
        <v>265</v>
      </c>
      <c r="E89" s="1" t="s">
        <v>8</v>
      </c>
      <c r="F89" s="1" t="s">
        <v>267</v>
      </c>
    </row>
    <row r="90" spans="3:6" x14ac:dyDescent="0.25">
      <c r="C90" s="1"/>
      <c r="D90" s="1" t="s">
        <v>497</v>
      </c>
      <c r="E90" s="1"/>
      <c r="F90" s="1" t="s">
        <v>498</v>
      </c>
    </row>
    <row r="91" spans="3:6" x14ac:dyDescent="0.25">
      <c r="C91" s="1"/>
      <c r="D91" s="1" t="s">
        <v>497</v>
      </c>
      <c r="E91" s="1"/>
      <c r="F91" s="1" t="s">
        <v>499</v>
      </c>
    </row>
    <row r="92" spans="3:6" x14ac:dyDescent="0.25">
      <c r="C92" s="1"/>
      <c r="D92" s="1" t="s">
        <v>497</v>
      </c>
      <c r="E92" s="1"/>
      <c r="F92" s="1" t="s">
        <v>500</v>
      </c>
    </row>
    <row r="93" spans="3:6" x14ac:dyDescent="0.25">
      <c r="C93" s="1" t="s">
        <v>270</v>
      </c>
      <c r="D93" s="1" t="s">
        <v>271</v>
      </c>
      <c r="E93" s="1" t="s">
        <v>4</v>
      </c>
      <c r="F93" s="1" t="s">
        <v>272</v>
      </c>
    </row>
    <row r="94" spans="3:6" x14ac:dyDescent="0.25">
      <c r="C94" s="1" t="s">
        <v>276</v>
      </c>
      <c r="D94" s="1" t="s">
        <v>277</v>
      </c>
      <c r="E94" s="1" t="s">
        <v>4</v>
      </c>
      <c r="F94" s="1" t="s">
        <v>278</v>
      </c>
    </row>
    <row r="95" spans="3:6" x14ac:dyDescent="0.25">
      <c r="C95" s="1" t="s">
        <v>285</v>
      </c>
      <c r="D95" s="1" t="s">
        <v>286</v>
      </c>
      <c r="E95" s="1" t="s">
        <v>4</v>
      </c>
      <c r="F95" s="1" t="s">
        <v>287</v>
      </c>
    </row>
    <row r="96" spans="3:6" x14ac:dyDescent="0.25">
      <c r="C96" s="1" t="s">
        <v>288</v>
      </c>
      <c r="D96" s="1" t="s">
        <v>289</v>
      </c>
      <c r="E96" s="1" t="s">
        <v>4</v>
      </c>
      <c r="F96" s="1" t="s">
        <v>290</v>
      </c>
    </row>
    <row r="97" spans="3:8" x14ac:dyDescent="0.25">
      <c r="C97" s="1" t="s">
        <v>294</v>
      </c>
      <c r="D97" s="1" t="s">
        <v>295</v>
      </c>
      <c r="E97" s="1" t="s">
        <v>8</v>
      </c>
      <c r="F97" s="1" t="s">
        <v>296</v>
      </c>
    </row>
    <row r="98" spans="3:8" x14ac:dyDescent="0.25">
      <c r="C98" s="1" t="s">
        <v>294</v>
      </c>
      <c r="D98" s="1" t="s">
        <v>295</v>
      </c>
      <c r="E98" s="1" t="s">
        <v>8</v>
      </c>
      <c r="F98" s="1" t="s">
        <v>297</v>
      </c>
    </row>
    <row r="99" spans="3:8" x14ac:dyDescent="0.25">
      <c r="C99" s="1" t="s">
        <v>329</v>
      </c>
      <c r="D99" s="1" t="s">
        <v>330</v>
      </c>
      <c r="E99" s="1" t="s">
        <v>19</v>
      </c>
      <c r="F99" s="1" t="s">
        <v>331</v>
      </c>
    </row>
    <row r="100" spans="3:8" x14ac:dyDescent="0.25">
      <c r="C100" s="1" t="s">
        <v>329</v>
      </c>
      <c r="D100" s="1" t="s">
        <v>330</v>
      </c>
      <c r="E100" s="1" t="s">
        <v>19</v>
      </c>
      <c r="F100" s="1" t="s">
        <v>332</v>
      </c>
    </row>
    <row r="101" spans="3:8" x14ac:dyDescent="0.25">
      <c r="C101" s="1" t="s">
        <v>329</v>
      </c>
      <c r="D101" s="1" t="s">
        <v>330</v>
      </c>
      <c r="E101" s="1" t="s">
        <v>19</v>
      </c>
      <c r="F101" s="1" t="s">
        <v>220</v>
      </c>
    </row>
    <row r="102" spans="3:8" x14ac:dyDescent="0.25">
      <c r="C102" s="1" t="s">
        <v>337</v>
      </c>
      <c r="D102" s="1" t="s">
        <v>338</v>
      </c>
      <c r="E102" s="1" t="s">
        <v>4</v>
      </c>
      <c r="F102" s="1" t="s">
        <v>339</v>
      </c>
    </row>
    <row r="103" spans="3:8" x14ac:dyDescent="0.25">
      <c r="C103" s="1" t="s">
        <v>340</v>
      </c>
      <c r="D103" s="1" t="s">
        <v>341</v>
      </c>
      <c r="E103" s="1" t="s">
        <v>4</v>
      </c>
      <c r="F103" s="1" t="s">
        <v>342</v>
      </c>
    </row>
    <row r="104" spans="3:8" x14ac:dyDescent="0.25">
      <c r="C104" s="1" t="s">
        <v>340</v>
      </c>
      <c r="D104" s="1" t="s">
        <v>341</v>
      </c>
      <c r="E104" s="1" t="s">
        <v>4</v>
      </c>
      <c r="F104" s="1" t="s">
        <v>343</v>
      </c>
    </row>
    <row r="105" spans="3:8" x14ac:dyDescent="0.25">
      <c r="C105" s="1" t="s">
        <v>358</v>
      </c>
      <c r="D105" s="1" t="s">
        <v>359</v>
      </c>
      <c r="E105" s="1" t="s">
        <v>4</v>
      </c>
      <c r="F105" s="1" t="s">
        <v>309</v>
      </c>
    </row>
    <row r="106" spans="3:8" x14ac:dyDescent="0.25">
      <c r="C106" s="1" t="s">
        <v>366</v>
      </c>
      <c r="D106" s="1" t="s">
        <v>367</v>
      </c>
      <c r="E106" s="1" t="s">
        <v>19</v>
      </c>
      <c r="F106" s="1" t="s">
        <v>368</v>
      </c>
    </row>
    <row r="107" spans="3:8" x14ac:dyDescent="0.25">
      <c r="C107" s="1" t="s">
        <v>372</v>
      </c>
      <c r="D107" s="1" t="s">
        <v>373</v>
      </c>
      <c r="E107" s="1" t="s">
        <v>4</v>
      </c>
      <c r="F107" s="1" t="s">
        <v>76</v>
      </c>
    </row>
    <row r="108" spans="3:8" x14ac:dyDescent="0.25">
      <c r="C108" s="1" t="s">
        <v>385</v>
      </c>
      <c r="D108" s="1" t="s">
        <v>386</v>
      </c>
      <c r="E108" s="1" t="s">
        <v>4</v>
      </c>
      <c r="F108" s="1" t="s">
        <v>387</v>
      </c>
    </row>
    <row r="109" spans="3:8" x14ac:dyDescent="0.25">
      <c r="C109" s="1" t="s">
        <v>385</v>
      </c>
      <c r="D109" s="1" t="s">
        <v>386</v>
      </c>
      <c r="E109" s="1" t="s">
        <v>4</v>
      </c>
      <c r="F109" s="1" t="s">
        <v>388</v>
      </c>
    </row>
    <row r="110" spans="3:8" x14ac:dyDescent="0.25">
      <c r="C110" s="1" t="s">
        <v>389</v>
      </c>
      <c r="D110" s="1" t="s">
        <v>390</v>
      </c>
      <c r="E110" s="1" t="s">
        <v>4</v>
      </c>
      <c r="F110" s="1" t="s">
        <v>391</v>
      </c>
    </row>
    <row r="111" spans="3:8" x14ac:dyDescent="0.25">
      <c r="C111" s="1">
        <v>15.1</v>
      </c>
      <c r="D111" s="1" t="s">
        <v>405</v>
      </c>
      <c r="E111" s="1" t="s">
        <v>4</v>
      </c>
      <c r="F111" s="1" t="s">
        <v>406</v>
      </c>
    </row>
    <row r="112" spans="3:8" x14ac:dyDescent="0.25">
      <c r="C112" s="1" t="s">
        <v>415</v>
      </c>
      <c r="D112" s="1" t="s">
        <v>416</v>
      </c>
      <c r="E112" s="1" t="s">
        <v>19</v>
      </c>
      <c r="F112" s="1" t="s">
        <v>417</v>
      </c>
      <c r="H112" t="s">
        <v>1611</v>
      </c>
    </row>
    <row r="113" spans="3:8" x14ac:dyDescent="0.25">
      <c r="C113" s="1" t="s">
        <v>418</v>
      </c>
      <c r="D113" s="1" t="s">
        <v>416</v>
      </c>
      <c r="E113" s="1" t="s">
        <v>19</v>
      </c>
      <c r="F113" s="1" t="s">
        <v>419</v>
      </c>
      <c r="H113" t="s">
        <v>1611</v>
      </c>
    </row>
    <row r="114" spans="3:8" x14ac:dyDescent="0.25">
      <c r="C114" s="1" t="s">
        <v>420</v>
      </c>
      <c r="D114" s="1" t="s">
        <v>421</v>
      </c>
      <c r="E114" s="1" t="s">
        <v>4</v>
      </c>
      <c r="F114" s="1" t="s">
        <v>76</v>
      </c>
    </row>
    <row r="115" spans="3:8" x14ac:dyDescent="0.25">
      <c r="C115" s="1"/>
      <c r="D115" s="1" t="s">
        <v>422</v>
      </c>
      <c r="E115" s="1" t="s">
        <v>19</v>
      </c>
      <c r="F115" s="1" t="s">
        <v>132</v>
      </c>
    </row>
    <row r="116" spans="3:8" x14ac:dyDescent="0.25">
      <c r="C116" s="1" t="s">
        <v>408</v>
      </c>
      <c r="D116" s="1" t="s">
        <v>409</v>
      </c>
      <c r="E116" s="1" t="s">
        <v>19</v>
      </c>
      <c r="F116" s="1" t="s">
        <v>278</v>
      </c>
    </row>
    <row r="117" spans="3:8" x14ac:dyDescent="0.25">
      <c r="C117" s="1" t="s">
        <v>410</v>
      </c>
      <c r="D117" s="1" t="s">
        <v>411</v>
      </c>
      <c r="E117" s="1" t="s">
        <v>19</v>
      </c>
      <c r="F117" s="1" t="s">
        <v>278</v>
      </c>
    </row>
    <row r="118" spans="3:8" x14ac:dyDescent="0.25">
      <c r="C118" s="1" t="s">
        <v>412</v>
      </c>
      <c r="D118" s="1" t="s">
        <v>413</v>
      </c>
      <c r="E118" s="1" t="s">
        <v>4</v>
      </c>
      <c r="F118" s="1" t="s">
        <v>414</v>
      </c>
    </row>
    <row r="119" spans="3:8" x14ac:dyDescent="0.25">
      <c r="C119" s="1" t="s">
        <v>438</v>
      </c>
      <c r="D119" s="1" t="s">
        <v>439</v>
      </c>
      <c r="E119" s="1" t="s">
        <v>19</v>
      </c>
      <c r="F119" s="1" t="s">
        <v>440</v>
      </c>
    </row>
    <row r="120" spans="3:8" x14ac:dyDescent="0.25">
      <c r="C120" s="1" t="s">
        <v>441</v>
      </c>
      <c r="D120" s="1" t="s">
        <v>439</v>
      </c>
      <c r="E120" s="1" t="s">
        <v>19</v>
      </c>
      <c r="F120" s="1" t="s">
        <v>120</v>
      </c>
    </row>
    <row r="122" spans="3:8" x14ac:dyDescent="0.25">
      <c r="C122" s="3" t="s">
        <v>1602</v>
      </c>
    </row>
    <row r="123" spans="3:8" x14ac:dyDescent="0.25">
      <c r="C123" s="1">
        <v>28.1</v>
      </c>
      <c r="D123" s="1"/>
      <c r="E123" s="1"/>
      <c r="F123" s="1" t="s">
        <v>1603</v>
      </c>
    </row>
    <row r="124" spans="3:8" ht="30" x14ac:dyDescent="0.25">
      <c r="C124" s="1">
        <v>28.2</v>
      </c>
      <c r="D124" s="1"/>
      <c r="E124" s="1"/>
      <c r="F124" s="4" t="s">
        <v>1604</v>
      </c>
    </row>
    <row r="126" spans="3:8" x14ac:dyDescent="0.25">
      <c r="C126" s="3" t="s">
        <v>1605</v>
      </c>
    </row>
    <row r="127" spans="3:8" x14ac:dyDescent="0.25">
      <c r="C127" s="1">
        <v>29.1</v>
      </c>
      <c r="D127" s="1"/>
      <c r="E127" s="1"/>
      <c r="F127" s="1" t="s">
        <v>1606</v>
      </c>
    </row>
    <row r="128" spans="3:8" x14ac:dyDescent="0.25">
      <c r="C128" s="1">
        <v>29.2</v>
      </c>
      <c r="D128" s="1"/>
      <c r="E128" s="1"/>
      <c r="F128" s="1" t="s">
        <v>1607</v>
      </c>
    </row>
  </sheetData>
  <autoFilter ref="C3:H12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24"/>
  <sheetViews>
    <sheetView zoomScale="110" zoomScaleNormal="11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3" sqref="D3"/>
    </sheetView>
  </sheetViews>
  <sheetFormatPr defaultRowHeight="15" x14ac:dyDescent="0.25"/>
  <cols>
    <col min="1" max="1" width="9.28515625" customWidth="1"/>
    <col min="2" max="2" width="2.28515625" customWidth="1"/>
    <col min="3" max="3" width="9" bestFit="1" customWidth="1"/>
    <col min="4" max="4" width="32.140625" bestFit="1" customWidth="1"/>
    <col min="6" max="6" width="35.42578125" bestFit="1" customWidth="1"/>
    <col min="7" max="7" width="16.5703125" bestFit="1" customWidth="1"/>
  </cols>
  <sheetData>
    <row r="2" spans="3:7" x14ac:dyDescent="0.25">
      <c r="C2" s="3" t="s">
        <v>0</v>
      </c>
    </row>
    <row r="3" spans="3:7" x14ac:dyDescent="0.25">
      <c r="C3" s="2"/>
      <c r="D3" s="2" t="s">
        <v>462</v>
      </c>
      <c r="E3" s="2"/>
      <c r="F3" s="2" t="s">
        <v>463</v>
      </c>
      <c r="G3" t="s">
        <v>503</v>
      </c>
    </row>
    <row r="4" spans="3:7" x14ac:dyDescent="0.25">
      <c r="C4" s="1" t="s">
        <v>6</v>
      </c>
      <c r="D4" s="1" t="s">
        <v>7</v>
      </c>
      <c r="E4" s="1" t="s">
        <v>8</v>
      </c>
      <c r="F4" s="1" t="s">
        <v>9</v>
      </c>
    </row>
    <row r="5" spans="3:7" x14ac:dyDescent="0.25">
      <c r="C5" s="1" t="s">
        <v>6</v>
      </c>
      <c r="D5" s="1" t="s">
        <v>7</v>
      </c>
      <c r="E5" s="1" t="s">
        <v>8</v>
      </c>
      <c r="F5" s="1" t="s">
        <v>10</v>
      </c>
    </row>
    <row r="6" spans="3:7" x14ac:dyDescent="0.25">
      <c r="C6" s="1" t="s">
        <v>23</v>
      </c>
      <c r="D6" s="1" t="s">
        <v>24</v>
      </c>
      <c r="E6" s="1" t="s">
        <v>4</v>
      </c>
      <c r="F6" s="1" t="s">
        <v>25</v>
      </c>
    </row>
    <row r="7" spans="3:7" x14ac:dyDescent="0.25">
      <c r="C7" s="1" t="s">
        <v>26</v>
      </c>
      <c r="D7" s="1" t="s">
        <v>27</v>
      </c>
      <c r="E7" s="1" t="s">
        <v>4</v>
      </c>
      <c r="F7" s="1" t="s">
        <v>28</v>
      </c>
    </row>
    <row r="8" spans="3:7" x14ac:dyDescent="0.25">
      <c r="C8" s="1" t="s">
        <v>26</v>
      </c>
      <c r="D8" s="1" t="s">
        <v>27</v>
      </c>
      <c r="E8" s="1" t="s">
        <v>4</v>
      </c>
      <c r="F8" s="1" t="s">
        <v>29</v>
      </c>
    </row>
    <row r="9" spans="3:7" x14ac:dyDescent="0.25">
      <c r="C9" s="1" t="s">
        <v>39</v>
      </c>
      <c r="D9" s="1" t="s">
        <v>40</v>
      </c>
      <c r="E9" s="1" t="s">
        <v>19</v>
      </c>
      <c r="F9" s="1" t="s">
        <v>41</v>
      </c>
    </row>
    <row r="10" spans="3:7" x14ac:dyDescent="0.25">
      <c r="C10" s="1" t="s">
        <v>39</v>
      </c>
      <c r="D10" s="1" t="s">
        <v>40</v>
      </c>
      <c r="E10" s="1" t="s">
        <v>19</v>
      </c>
      <c r="F10" s="1" t="s">
        <v>42</v>
      </c>
    </row>
    <row r="11" spans="3:7" x14ac:dyDescent="0.25">
      <c r="C11" s="1" t="s">
        <v>57</v>
      </c>
      <c r="D11" s="1" t="s">
        <v>58</v>
      </c>
      <c r="E11" s="1" t="s">
        <v>4</v>
      </c>
      <c r="F11" s="1" t="s">
        <v>59</v>
      </c>
    </row>
    <row r="12" spans="3:7" x14ac:dyDescent="0.25">
      <c r="C12" s="1" t="s">
        <v>67</v>
      </c>
      <c r="D12" s="1" t="s">
        <v>68</v>
      </c>
      <c r="E12" s="1" t="s">
        <v>69</v>
      </c>
      <c r="F12" s="1" t="s">
        <v>70</v>
      </c>
    </row>
    <row r="13" spans="3:7" x14ac:dyDescent="0.25">
      <c r="C13" s="1" t="s">
        <v>71</v>
      </c>
      <c r="D13" s="1" t="s">
        <v>72</v>
      </c>
      <c r="E13" s="1" t="s">
        <v>4</v>
      </c>
      <c r="F13" s="1" t="s">
        <v>73</v>
      </c>
    </row>
    <row r="14" spans="3:7" x14ac:dyDescent="0.25">
      <c r="C14" s="1" t="s">
        <v>77</v>
      </c>
      <c r="D14" s="1" t="s">
        <v>78</v>
      </c>
      <c r="E14" s="1" t="s">
        <v>4</v>
      </c>
      <c r="F14" s="1" t="s">
        <v>79</v>
      </c>
    </row>
    <row r="15" spans="3:7" x14ac:dyDescent="0.25">
      <c r="C15" s="1" t="s">
        <v>88</v>
      </c>
      <c r="D15" s="1" t="s">
        <v>89</v>
      </c>
      <c r="E15" s="1" t="s">
        <v>4</v>
      </c>
      <c r="F15" s="1" t="s">
        <v>90</v>
      </c>
    </row>
    <row r="16" spans="3:7" x14ac:dyDescent="0.25">
      <c r="C16" s="1">
        <v>3.3</v>
      </c>
      <c r="D16" s="1" t="s">
        <v>91</v>
      </c>
      <c r="E16" s="1" t="s">
        <v>4</v>
      </c>
      <c r="F16" s="1" t="s">
        <v>92</v>
      </c>
    </row>
    <row r="17" spans="3:6" x14ac:dyDescent="0.25">
      <c r="C17" s="1">
        <v>3.3</v>
      </c>
      <c r="D17" s="1" t="s">
        <v>91</v>
      </c>
      <c r="E17" s="1" t="s">
        <v>4</v>
      </c>
      <c r="F17" s="1" t="s">
        <v>93</v>
      </c>
    </row>
    <row r="18" spans="3:6" x14ac:dyDescent="0.25">
      <c r="C18" s="1" t="s">
        <v>109</v>
      </c>
      <c r="D18" s="1" t="s">
        <v>110</v>
      </c>
      <c r="E18" s="1" t="s">
        <v>4</v>
      </c>
      <c r="F18" s="1" t="s">
        <v>111</v>
      </c>
    </row>
    <row r="19" spans="3:6" x14ac:dyDescent="0.25">
      <c r="C19" s="1" t="s">
        <v>112</v>
      </c>
      <c r="D19" s="1" t="s">
        <v>113</v>
      </c>
      <c r="E19" s="1" t="s">
        <v>8</v>
      </c>
      <c r="F19" s="1" t="s">
        <v>114</v>
      </c>
    </row>
    <row r="20" spans="3:6" x14ac:dyDescent="0.25">
      <c r="C20" s="1" t="s">
        <v>115</v>
      </c>
      <c r="D20" s="1" t="s">
        <v>116</v>
      </c>
      <c r="E20" s="1" t="s">
        <v>8</v>
      </c>
      <c r="F20" s="1" t="s">
        <v>117</v>
      </c>
    </row>
    <row r="21" spans="3:6" x14ac:dyDescent="0.25">
      <c r="C21" s="1" t="s">
        <v>130</v>
      </c>
      <c r="D21" s="1" t="s">
        <v>131</v>
      </c>
      <c r="E21" s="1" t="s">
        <v>4</v>
      </c>
      <c r="F21" s="1" t="s">
        <v>132</v>
      </c>
    </row>
    <row r="22" spans="3:6" x14ac:dyDescent="0.25">
      <c r="C22" s="1" t="s">
        <v>142</v>
      </c>
      <c r="D22" s="1" t="s">
        <v>143</v>
      </c>
      <c r="E22" s="1" t="s">
        <v>4</v>
      </c>
      <c r="F22" s="1" t="s">
        <v>85</v>
      </c>
    </row>
    <row r="23" spans="3:6" x14ac:dyDescent="0.25">
      <c r="C23" s="1" t="s">
        <v>144</v>
      </c>
      <c r="D23" s="1" t="s">
        <v>145</v>
      </c>
      <c r="E23" s="1" t="s">
        <v>4</v>
      </c>
      <c r="F23" s="1" t="s">
        <v>146</v>
      </c>
    </row>
    <row r="24" spans="3:6" x14ac:dyDescent="0.25">
      <c r="C24" s="1" t="s">
        <v>118</v>
      </c>
      <c r="D24" s="1" t="s">
        <v>149</v>
      </c>
      <c r="E24" s="1" t="s">
        <v>19</v>
      </c>
      <c r="F24" s="1" t="s">
        <v>150</v>
      </c>
    </row>
    <row r="25" spans="3:6" x14ac:dyDescent="0.25">
      <c r="C25" s="1" t="s">
        <v>160</v>
      </c>
      <c r="D25" s="1" t="s">
        <v>161</v>
      </c>
      <c r="E25" s="1" t="s">
        <v>19</v>
      </c>
      <c r="F25" s="1" t="s">
        <v>28</v>
      </c>
    </row>
    <row r="26" spans="3:6" x14ac:dyDescent="0.25">
      <c r="C26" s="1" t="s">
        <v>165</v>
      </c>
      <c r="D26" s="1" t="s">
        <v>166</v>
      </c>
      <c r="E26" s="1" t="s">
        <v>4</v>
      </c>
      <c r="F26" s="1" t="s">
        <v>167</v>
      </c>
    </row>
    <row r="27" spans="3:6" x14ac:dyDescent="0.25">
      <c r="C27" s="1" t="s">
        <v>168</v>
      </c>
      <c r="D27" s="1" t="s">
        <v>169</v>
      </c>
      <c r="E27" s="1" t="s">
        <v>4</v>
      </c>
      <c r="F27" s="1" t="s">
        <v>170</v>
      </c>
    </row>
    <row r="28" spans="3:6" x14ac:dyDescent="0.25">
      <c r="C28" s="1" t="s">
        <v>168</v>
      </c>
      <c r="D28" s="1" t="s">
        <v>169</v>
      </c>
      <c r="E28" s="1" t="s">
        <v>4</v>
      </c>
      <c r="F28" s="1" t="s">
        <v>171</v>
      </c>
    </row>
    <row r="29" spans="3:6" ht="45" x14ac:dyDescent="0.25">
      <c r="C29" s="1" t="s">
        <v>172</v>
      </c>
      <c r="D29" s="4" t="s">
        <v>173</v>
      </c>
      <c r="E29" s="1" t="s">
        <v>4</v>
      </c>
      <c r="F29" s="1" t="s">
        <v>174</v>
      </c>
    </row>
    <row r="30" spans="3:6" x14ac:dyDescent="0.25">
      <c r="C30" s="1" t="s">
        <v>175</v>
      </c>
      <c r="D30" s="1" t="s">
        <v>176</v>
      </c>
      <c r="E30" s="1" t="s">
        <v>8</v>
      </c>
      <c r="F30" s="1" t="s">
        <v>177</v>
      </c>
    </row>
    <row r="31" spans="3:6" x14ac:dyDescent="0.25">
      <c r="C31" s="1" t="s">
        <v>183</v>
      </c>
      <c r="D31" s="1" t="s">
        <v>184</v>
      </c>
      <c r="E31" s="1" t="s">
        <v>4</v>
      </c>
      <c r="F31" s="1" t="s">
        <v>185</v>
      </c>
    </row>
    <row r="32" spans="3:6" x14ac:dyDescent="0.25">
      <c r="C32" s="1" t="s">
        <v>192</v>
      </c>
      <c r="D32" s="1" t="s">
        <v>190</v>
      </c>
      <c r="E32" s="1" t="s">
        <v>19</v>
      </c>
      <c r="F32" s="1" t="s">
        <v>193</v>
      </c>
    </row>
    <row r="33" spans="3:6" x14ac:dyDescent="0.25">
      <c r="C33" s="1" t="s">
        <v>200</v>
      </c>
      <c r="D33" s="1" t="s">
        <v>198</v>
      </c>
      <c r="E33" s="1" t="s">
        <v>4</v>
      </c>
      <c r="F33" s="1" t="s">
        <v>201</v>
      </c>
    </row>
    <row r="34" spans="3:6" x14ac:dyDescent="0.25">
      <c r="C34" s="1" t="s">
        <v>202</v>
      </c>
      <c r="D34" s="1" t="s">
        <v>203</v>
      </c>
      <c r="E34" s="1" t="s">
        <v>19</v>
      </c>
      <c r="F34" s="1" t="s">
        <v>204</v>
      </c>
    </row>
    <row r="35" spans="3:6" x14ac:dyDescent="0.25">
      <c r="C35" s="1" t="s">
        <v>202</v>
      </c>
      <c r="D35" s="1" t="s">
        <v>203</v>
      </c>
      <c r="E35" s="1" t="s">
        <v>19</v>
      </c>
      <c r="F35" s="1" t="s">
        <v>205</v>
      </c>
    </row>
    <row r="36" spans="3:6" x14ac:dyDescent="0.25">
      <c r="C36" s="1" t="s">
        <v>206</v>
      </c>
      <c r="D36" s="1" t="s">
        <v>207</v>
      </c>
      <c r="E36" s="1" t="s">
        <v>4</v>
      </c>
      <c r="F36" s="1" t="s">
        <v>208</v>
      </c>
    </row>
    <row r="37" spans="3:6" x14ac:dyDescent="0.25">
      <c r="C37" s="1" t="s">
        <v>218</v>
      </c>
      <c r="D37" s="1" t="s">
        <v>219</v>
      </c>
      <c r="E37" s="1" t="s">
        <v>4</v>
      </c>
      <c r="F37" s="1" t="s">
        <v>220</v>
      </c>
    </row>
    <row r="38" spans="3:6" x14ac:dyDescent="0.25">
      <c r="C38" s="1" t="s">
        <v>228</v>
      </c>
      <c r="D38" s="1" t="s">
        <v>229</v>
      </c>
      <c r="E38" s="1" t="s">
        <v>4</v>
      </c>
      <c r="F38" s="1" t="s">
        <v>230</v>
      </c>
    </row>
    <row r="39" spans="3:6" ht="30" x14ac:dyDescent="0.25">
      <c r="C39" s="1" t="s">
        <v>231</v>
      </c>
      <c r="D39" s="4" t="s">
        <v>232</v>
      </c>
      <c r="E39" s="1" t="s">
        <v>4</v>
      </c>
      <c r="F39" s="1" t="s">
        <v>233</v>
      </c>
    </row>
    <row r="40" spans="3:6" ht="30" x14ac:dyDescent="0.25">
      <c r="C40" s="1" t="s">
        <v>231</v>
      </c>
      <c r="D40" s="4" t="s">
        <v>232</v>
      </c>
      <c r="E40" s="1" t="s">
        <v>4</v>
      </c>
      <c r="F40" s="1" t="s">
        <v>76</v>
      </c>
    </row>
    <row r="41" spans="3:6" ht="30" x14ac:dyDescent="0.25">
      <c r="C41" s="1" t="s">
        <v>231</v>
      </c>
      <c r="D41" s="4" t="s">
        <v>232</v>
      </c>
      <c r="E41" s="1" t="s">
        <v>4</v>
      </c>
      <c r="F41" s="1" t="s">
        <v>234</v>
      </c>
    </row>
    <row r="42" spans="3:6" x14ac:dyDescent="0.25">
      <c r="C42" s="1" t="s">
        <v>231</v>
      </c>
      <c r="D42" s="1" t="s">
        <v>232</v>
      </c>
      <c r="E42" s="1" t="s">
        <v>4</v>
      </c>
      <c r="F42" s="1" t="s">
        <v>235</v>
      </c>
    </row>
    <row r="43" spans="3:6" x14ac:dyDescent="0.25">
      <c r="C43" s="1" t="s">
        <v>245</v>
      </c>
      <c r="D43" s="1" t="s">
        <v>246</v>
      </c>
      <c r="E43" s="1" t="s">
        <v>4</v>
      </c>
      <c r="F43" s="1" t="s">
        <v>247</v>
      </c>
    </row>
    <row r="44" spans="3:6" x14ac:dyDescent="0.25">
      <c r="C44" s="1" t="s">
        <v>245</v>
      </c>
      <c r="D44" s="1" t="s">
        <v>246</v>
      </c>
      <c r="E44" s="1" t="s">
        <v>4</v>
      </c>
      <c r="F44" s="1" t="s">
        <v>248</v>
      </c>
    </row>
    <row r="45" spans="3:6" x14ac:dyDescent="0.25">
      <c r="C45" s="1" t="s">
        <v>245</v>
      </c>
      <c r="D45" s="1" t="s">
        <v>246</v>
      </c>
      <c r="E45" s="1" t="s">
        <v>4</v>
      </c>
      <c r="F45" s="1" t="s">
        <v>70</v>
      </c>
    </row>
    <row r="46" spans="3:6" ht="45" x14ac:dyDescent="0.25">
      <c r="C46" s="1" t="s">
        <v>253</v>
      </c>
      <c r="D46" s="4" t="s">
        <v>254</v>
      </c>
      <c r="E46" s="1" t="s">
        <v>19</v>
      </c>
      <c r="F46" s="1" t="s">
        <v>255</v>
      </c>
    </row>
    <row r="47" spans="3:6" x14ac:dyDescent="0.25">
      <c r="C47" s="1" t="s">
        <v>253</v>
      </c>
      <c r="D47" s="1" t="s">
        <v>254</v>
      </c>
      <c r="E47" s="1" t="s">
        <v>19</v>
      </c>
      <c r="F47" s="1" t="s">
        <v>256</v>
      </c>
    </row>
    <row r="48" spans="3:6" ht="30" x14ac:dyDescent="0.25">
      <c r="C48" s="1" t="s">
        <v>257</v>
      </c>
      <c r="D48" s="4" t="s">
        <v>258</v>
      </c>
      <c r="E48" s="1" t="s">
        <v>19</v>
      </c>
      <c r="F48" s="1" t="s">
        <v>259</v>
      </c>
    </row>
    <row r="49" spans="3:6" x14ac:dyDescent="0.25">
      <c r="C49" s="1" t="s">
        <v>257</v>
      </c>
      <c r="D49" s="1" t="s">
        <v>258</v>
      </c>
      <c r="E49" s="1" t="s">
        <v>19</v>
      </c>
      <c r="F49" s="1" t="s">
        <v>260</v>
      </c>
    </row>
    <row r="50" spans="3:6" x14ac:dyDescent="0.25">
      <c r="C50" s="1" t="s">
        <v>268</v>
      </c>
      <c r="D50" s="1" t="s">
        <v>269</v>
      </c>
      <c r="E50" s="1" t="s">
        <v>19</v>
      </c>
      <c r="F50" s="1" t="s">
        <v>233</v>
      </c>
    </row>
    <row r="51" spans="3:6" x14ac:dyDescent="0.25">
      <c r="C51" s="1" t="s">
        <v>268</v>
      </c>
      <c r="D51" s="1" t="s">
        <v>269</v>
      </c>
      <c r="E51" s="1" t="s">
        <v>19</v>
      </c>
      <c r="F51" s="1" t="s">
        <v>76</v>
      </c>
    </row>
    <row r="52" spans="3:6" x14ac:dyDescent="0.25">
      <c r="C52" s="1" t="s">
        <v>273</v>
      </c>
      <c r="D52" s="1" t="s">
        <v>274</v>
      </c>
      <c r="E52" s="1" t="s">
        <v>19</v>
      </c>
      <c r="F52" s="1" t="s">
        <v>275</v>
      </c>
    </row>
    <row r="53" spans="3:6" x14ac:dyDescent="0.25">
      <c r="C53" s="1" t="s">
        <v>279</v>
      </c>
      <c r="D53" s="1" t="s">
        <v>280</v>
      </c>
      <c r="E53" s="1" t="s">
        <v>19</v>
      </c>
      <c r="F53" s="1" t="s">
        <v>281</v>
      </c>
    </row>
    <row r="54" spans="3:6" x14ac:dyDescent="0.25">
      <c r="C54" s="1" t="s">
        <v>291</v>
      </c>
      <c r="D54" s="1" t="s">
        <v>292</v>
      </c>
      <c r="E54" s="1" t="s">
        <v>4</v>
      </c>
      <c r="F54" s="1" t="s">
        <v>293</v>
      </c>
    </row>
    <row r="55" spans="3:6" x14ac:dyDescent="0.25">
      <c r="C55" s="1" t="s">
        <v>301</v>
      </c>
      <c r="D55" s="1" t="s">
        <v>299</v>
      </c>
      <c r="E55" s="1" t="s">
        <v>4</v>
      </c>
      <c r="F55" s="1" t="s">
        <v>302</v>
      </c>
    </row>
    <row r="56" spans="3:6" x14ac:dyDescent="0.25">
      <c r="C56" s="1"/>
      <c r="D56" s="1" t="s">
        <v>299</v>
      </c>
      <c r="E56" s="1" t="s">
        <v>4</v>
      </c>
      <c r="F56" s="1" t="s">
        <v>1610</v>
      </c>
    </row>
    <row r="57" spans="3:6" x14ac:dyDescent="0.25">
      <c r="C57" s="1" t="s">
        <v>303</v>
      </c>
      <c r="D57" s="1" t="s">
        <v>304</v>
      </c>
      <c r="E57" s="1" t="s">
        <v>4</v>
      </c>
      <c r="F57" s="1" t="s">
        <v>305</v>
      </c>
    </row>
    <row r="58" spans="3:6" x14ac:dyDescent="0.25">
      <c r="C58" s="1" t="s">
        <v>303</v>
      </c>
      <c r="D58" s="1" t="s">
        <v>304</v>
      </c>
      <c r="E58" s="1" t="s">
        <v>4</v>
      </c>
      <c r="F58" s="1" t="s">
        <v>306</v>
      </c>
    </row>
    <row r="59" spans="3:6" x14ac:dyDescent="0.25">
      <c r="C59" s="1" t="s">
        <v>307</v>
      </c>
      <c r="D59" s="1" t="s">
        <v>308</v>
      </c>
      <c r="E59" s="1" t="s">
        <v>4</v>
      </c>
      <c r="F59" s="1" t="s">
        <v>309</v>
      </c>
    </row>
    <row r="60" spans="3:6" x14ac:dyDescent="0.25">
      <c r="C60" s="1" t="s">
        <v>307</v>
      </c>
      <c r="D60" s="1" t="s">
        <v>308</v>
      </c>
      <c r="E60" s="1" t="s">
        <v>4</v>
      </c>
      <c r="F60" s="1" t="s">
        <v>85</v>
      </c>
    </row>
    <row r="61" spans="3:6" x14ac:dyDescent="0.25">
      <c r="C61" s="1" t="s">
        <v>310</v>
      </c>
      <c r="D61" s="1" t="s">
        <v>311</v>
      </c>
      <c r="E61" s="1" t="s">
        <v>19</v>
      </c>
      <c r="F61" s="1" t="s">
        <v>312</v>
      </c>
    </row>
    <row r="62" spans="3:6" x14ac:dyDescent="0.25">
      <c r="C62" s="1" t="s">
        <v>310</v>
      </c>
      <c r="D62" s="1" t="s">
        <v>311</v>
      </c>
      <c r="E62" s="1" t="s">
        <v>19</v>
      </c>
      <c r="F62" s="1" t="s">
        <v>313</v>
      </c>
    </row>
    <row r="63" spans="3:6" x14ac:dyDescent="0.25">
      <c r="C63" s="1" t="s">
        <v>310</v>
      </c>
      <c r="D63" s="1" t="s">
        <v>311</v>
      </c>
      <c r="E63" s="1" t="s">
        <v>19</v>
      </c>
      <c r="F63" s="1" t="s">
        <v>314</v>
      </c>
    </row>
    <row r="64" spans="3:6" x14ac:dyDescent="0.25">
      <c r="C64" s="1" t="s">
        <v>318</v>
      </c>
      <c r="D64" s="1" t="s">
        <v>315</v>
      </c>
      <c r="E64" s="1" t="s">
        <v>4</v>
      </c>
      <c r="F64" s="1" t="s">
        <v>316</v>
      </c>
    </row>
    <row r="65" spans="3:6" x14ac:dyDescent="0.25">
      <c r="C65" s="1" t="s">
        <v>318</v>
      </c>
      <c r="D65" s="1" t="s">
        <v>315</v>
      </c>
      <c r="E65" s="1" t="s">
        <v>4</v>
      </c>
      <c r="F65" s="1" t="s">
        <v>317</v>
      </c>
    </row>
    <row r="66" spans="3:6" x14ac:dyDescent="0.25">
      <c r="C66" s="1" t="s">
        <v>322</v>
      </c>
      <c r="D66" s="1" t="s">
        <v>323</v>
      </c>
      <c r="E66" s="1" t="s">
        <v>4</v>
      </c>
      <c r="F66" s="1" t="s">
        <v>324</v>
      </c>
    </row>
    <row r="67" spans="3:6" x14ac:dyDescent="0.25">
      <c r="C67" s="1" t="s">
        <v>327</v>
      </c>
      <c r="D67" s="1" t="s">
        <v>328</v>
      </c>
      <c r="E67" s="1" t="s">
        <v>4</v>
      </c>
      <c r="F67" s="1" t="s">
        <v>117</v>
      </c>
    </row>
    <row r="68" spans="3:6" x14ac:dyDescent="0.25">
      <c r="C68" s="1" t="s">
        <v>333</v>
      </c>
      <c r="D68" s="1" t="s">
        <v>334</v>
      </c>
      <c r="E68" s="1" t="s">
        <v>19</v>
      </c>
      <c r="F68" s="1" t="s">
        <v>76</v>
      </c>
    </row>
    <row r="69" spans="3:6" x14ac:dyDescent="0.25">
      <c r="C69" s="1" t="s">
        <v>335</v>
      </c>
      <c r="D69" s="1" t="s">
        <v>336</v>
      </c>
      <c r="E69" s="1" t="s">
        <v>4</v>
      </c>
      <c r="F69" s="1" t="s">
        <v>114</v>
      </c>
    </row>
    <row r="70" spans="3:6" x14ac:dyDescent="0.25">
      <c r="C70" s="1">
        <v>30.5</v>
      </c>
      <c r="D70" s="1" t="s">
        <v>344</v>
      </c>
      <c r="E70" s="1" t="s">
        <v>4</v>
      </c>
      <c r="F70" s="1" t="s">
        <v>28</v>
      </c>
    </row>
    <row r="71" spans="3:6" x14ac:dyDescent="0.25">
      <c r="C71" s="1" t="s">
        <v>345</v>
      </c>
      <c r="D71" s="1" t="s">
        <v>346</v>
      </c>
      <c r="E71" s="1" t="s">
        <v>4</v>
      </c>
      <c r="F71" s="1" t="s">
        <v>347</v>
      </c>
    </row>
    <row r="72" spans="3:6" ht="30" x14ac:dyDescent="0.25">
      <c r="C72" s="1" t="s">
        <v>348</v>
      </c>
      <c r="D72" s="4" t="s">
        <v>349</v>
      </c>
      <c r="E72" s="1" t="s">
        <v>19</v>
      </c>
      <c r="F72" s="1" t="s">
        <v>350</v>
      </c>
    </row>
    <row r="73" spans="3:6" ht="30" x14ac:dyDescent="0.25">
      <c r="C73" s="1" t="s">
        <v>348</v>
      </c>
      <c r="D73" s="4" t="s">
        <v>349</v>
      </c>
      <c r="E73" s="1" t="s">
        <v>19</v>
      </c>
      <c r="F73" s="1" t="s">
        <v>351</v>
      </c>
    </row>
    <row r="74" spans="3:6" x14ac:dyDescent="0.25">
      <c r="C74" s="1" t="s">
        <v>348</v>
      </c>
      <c r="D74" s="1" t="s">
        <v>349</v>
      </c>
      <c r="E74" s="1" t="s">
        <v>19</v>
      </c>
      <c r="F74" s="1" t="s">
        <v>352</v>
      </c>
    </row>
    <row r="75" spans="3:6" x14ac:dyDescent="0.25">
      <c r="C75" s="1" t="s">
        <v>348</v>
      </c>
      <c r="D75" s="1" t="s">
        <v>349</v>
      </c>
      <c r="E75" s="1" t="s">
        <v>19</v>
      </c>
      <c r="F75" s="1" t="s">
        <v>353</v>
      </c>
    </row>
    <row r="76" spans="3:6" x14ac:dyDescent="0.25">
      <c r="C76" s="1" t="s">
        <v>354</v>
      </c>
      <c r="D76" s="1" t="s">
        <v>355</v>
      </c>
      <c r="E76" s="1" t="s">
        <v>19</v>
      </c>
      <c r="F76" s="1" t="s">
        <v>120</v>
      </c>
    </row>
    <row r="77" spans="3:6" x14ac:dyDescent="0.25">
      <c r="C77" s="1" t="s">
        <v>356</v>
      </c>
      <c r="D77" s="1" t="s">
        <v>357</v>
      </c>
      <c r="E77" s="1" t="s">
        <v>19</v>
      </c>
      <c r="F77" s="1" t="s">
        <v>217</v>
      </c>
    </row>
    <row r="78" spans="3:6" x14ac:dyDescent="0.25">
      <c r="C78" s="1" t="s">
        <v>360</v>
      </c>
      <c r="D78" s="1" t="s">
        <v>361</v>
      </c>
      <c r="E78" s="1" t="s">
        <v>4</v>
      </c>
      <c r="F78" s="1" t="s">
        <v>362</v>
      </c>
    </row>
    <row r="79" spans="3:6" x14ac:dyDescent="0.25">
      <c r="C79" s="1" t="s">
        <v>363</v>
      </c>
      <c r="D79" s="1" t="s">
        <v>364</v>
      </c>
      <c r="E79" s="1" t="s">
        <v>8</v>
      </c>
      <c r="F79" s="1" t="s">
        <v>365</v>
      </c>
    </row>
    <row r="80" spans="3:6" x14ac:dyDescent="0.25">
      <c r="C80" s="1" t="s">
        <v>369</v>
      </c>
      <c r="D80" s="1" t="s">
        <v>370</v>
      </c>
      <c r="E80" s="1" t="s">
        <v>8</v>
      </c>
      <c r="F80" s="1" t="s">
        <v>371</v>
      </c>
    </row>
    <row r="81" spans="3:6" x14ac:dyDescent="0.25">
      <c r="C81" s="1" t="s">
        <v>374</v>
      </c>
      <c r="D81" s="1" t="s">
        <v>373</v>
      </c>
      <c r="E81" s="1" t="s">
        <v>4</v>
      </c>
      <c r="F81" s="1" t="s">
        <v>32</v>
      </c>
    </row>
    <row r="82" spans="3:6" x14ac:dyDescent="0.25">
      <c r="C82" s="1" t="s">
        <v>375</v>
      </c>
      <c r="D82" s="1" t="s">
        <v>376</v>
      </c>
      <c r="E82" s="1" t="s">
        <v>4</v>
      </c>
      <c r="F82" s="1" t="s">
        <v>377</v>
      </c>
    </row>
    <row r="83" spans="3:6" x14ac:dyDescent="0.25">
      <c r="C83" s="1" t="s">
        <v>375</v>
      </c>
      <c r="D83" s="1" t="s">
        <v>376</v>
      </c>
      <c r="E83" s="1" t="s">
        <v>4</v>
      </c>
      <c r="F83" s="1" t="s">
        <v>378</v>
      </c>
    </row>
    <row r="84" spans="3:6" x14ac:dyDescent="0.25">
      <c r="C84" s="1" t="s">
        <v>375</v>
      </c>
      <c r="D84" s="1" t="s">
        <v>376</v>
      </c>
      <c r="E84" s="1" t="s">
        <v>4</v>
      </c>
      <c r="F84" s="1" t="s">
        <v>379</v>
      </c>
    </row>
    <row r="85" spans="3:6" x14ac:dyDescent="0.25">
      <c r="C85" s="1">
        <v>30.7</v>
      </c>
      <c r="D85" s="1" t="s">
        <v>380</v>
      </c>
      <c r="E85" s="1" t="s">
        <v>4</v>
      </c>
      <c r="F85" s="1" t="s">
        <v>381</v>
      </c>
    </row>
    <row r="86" spans="3:6" x14ac:dyDescent="0.25">
      <c r="C86" s="1" t="s">
        <v>382</v>
      </c>
      <c r="D86" s="1" t="s">
        <v>383</v>
      </c>
      <c r="E86" s="1" t="s">
        <v>19</v>
      </c>
      <c r="F86" s="1" t="s">
        <v>384</v>
      </c>
    </row>
    <row r="87" spans="3:6" ht="30" x14ac:dyDescent="0.25">
      <c r="C87" s="1" t="s">
        <v>395</v>
      </c>
      <c r="D87" s="4" t="s">
        <v>396</v>
      </c>
      <c r="E87" s="1" t="s">
        <v>19</v>
      </c>
      <c r="F87" s="1" t="s">
        <v>397</v>
      </c>
    </row>
    <row r="88" spans="3:6" x14ac:dyDescent="0.25">
      <c r="C88" s="1" t="s">
        <v>395</v>
      </c>
      <c r="D88" s="1" t="s">
        <v>396</v>
      </c>
      <c r="E88" s="1" t="s">
        <v>19</v>
      </c>
      <c r="F88" s="1" t="s">
        <v>398</v>
      </c>
    </row>
    <row r="89" spans="3:6" x14ac:dyDescent="0.25">
      <c r="C89" s="1" t="s">
        <v>399</v>
      </c>
      <c r="D89" s="1" t="s">
        <v>400</v>
      </c>
      <c r="E89" s="1" t="s">
        <v>4</v>
      </c>
      <c r="F89" s="1" t="s">
        <v>401</v>
      </c>
    </row>
    <row r="90" spans="3:6" x14ac:dyDescent="0.25">
      <c r="C90" s="1" t="s">
        <v>402</v>
      </c>
      <c r="D90" s="1" t="s">
        <v>403</v>
      </c>
      <c r="E90" s="1" t="s">
        <v>4</v>
      </c>
      <c r="F90" s="1" t="s">
        <v>404</v>
      </c>
    </row>
    <row r="91" spans="3:6" x14ac:dyDescent="0.25">
      <c r="C91" s="1">
        <v>29.7</v>
      </c>
      <c r="D91" s="1" t="s">
        <v>445</v>
      </c>
      <c r="E91" s="1" t="s">
        <v>19</v>
      </c>
      <c r="F91" s="1" t="s">
        <v>446</v>
      </c>
    </row>
    <row r="92" spans="3:6" x14ac:dyDescent="0.25">
      <c r="C92" s="1" t="s">
        <v>447</v>
      </c>
      <c r="D92" s="1" t="s">
        <v>407</v>
      </c>
      <c r="E92" s="1" t="s">
        <v>19</v>
      </c>
      <c r="F92" s="1" t="s">
        <v>448</v>
      </c>
    </row>
    <row r="93" spans="3:6" x14ac:dyDescent="0.25">
      <c r="C93" s="1" t="s">
        <v>449</v>
      </c>
      <c r="D93" s="1" t="s">
        <v>450</v>
      </c>
      <c r="E93" s="1" t="s">
        <v>19</v>
      </c>
      <c r="F93" s="1" t="s">
        <v>278</v>
      </c>
    </row>
    <row r="94" spans="3:6" ht="30" x14ac:dyDescent="0.25">
      <c r="C94" s="1" t="s">
        <v>451</v>
      </c>
      <c r="D94" s="4" t="s">
        <v>452</v>
      </c>
      <c r="E94" s="1" t="s">
        <v>19</v>
      </c>
      <c r="F94" s="1" t="s">
        <v>453</v>
      </c>
    </row>
    <row r="95" spans="3:6" ht="45" x14ac:dyDescent="0.25">
      <c r="C95" s="1" t="s">
        <v>454</v>
      </c>
      <c r="D95" s="4" t="s">
        <v>455</v>
      </c>
      <c r="E95" s="1" t="s">
        <v>19</v>
      </c>
      <c r="F95" s="1" t="s">
        <v>456</v>
      </c>
    </row>
    <row r="96" spans="3:6" x14ac:dyDescent="0.25">
      <c r="C96" s="1"/>
      <c r="D96" s="1" t="s">
        <v>457</v>
      </c>
      <c r="E96" s="1" t="s">
        <v>4</v>
      </c>
      <c r="F96" s="1" t="s">
        <v>458</v>
      </c>
    </row>
    <row r="97" spans="1:7" x14ac:dyDescent="0.25">
      <c r="C97" s="1">
        <v>30.9</v>
      </c>
      <c r="D97" s="1" t="s">
        <v>459</v>
      </c>
      <c r="E97" s="1" t="s">
        <v>4</v>
      </c>
      <c r="F97" s="1" t="s">
        <v>460</v>
      </c>
      <c r="G97" s="5" t="s">
        <v>502</v>
      </c>
    </row>
    <row r="98" spans="1:7" x14ac:dyDescent="0.25">
      <c r="C98" s="1">
        <v>30.9</v>
      </c>
      <c r="D98" s="1" t="s">
        <v>459</v>
      </c>
      <c r="E98" s="1" t="s">
        <v>4</v>
      </c>
      <c r="F98" s="1" t="s">
        <v>461</v>
      </c>
      <c r="G98" s="5" t="s">
        <v>502</v>
      </c>
    </row>
    <row r="99" spans="1:7" x14ac:dyDescent="0.25">
      <c r="C99" s="1"/>
      <c r="D99" s="1" t="s">
        <v>212</v>
      </c>
      <c r="E99" s="1"/>
      <c r="F99" s="1" t="s">
        <v>501</v>
      </c>
    </row>
    <row r="100" spans="1:7" x14ac:dyDescent="0.25">
      <c r="A100" t="s">
        <v>473</v>
      </c>
      <c r="C100">
        <v>6</v>
      </c>
      <c r="D100" t="s">
        <v>466</v>
      </c>
      <c r="E100" t="s">
        <v>4</v>
      </c>
      <c r="F100" t="s">
        <v>467</v>
      </c>
    </row>
    <row r="101" spans="1:7" x14ac:dyDescent="0.25">
      <c r="A101" t="s">
        <v>473</v>
      </c>
      <c r="C101">
        <v>32</v>
      </c>
      <c r="D101" t="s">
        <v>468</v>
      </c>
      <c r="F101" t="s">
        <v>469</v>
      </c>
    </row>
    <row r="102" spans="1:7" x14ac:dyDescent="0.25">
      <c r="A102" t="s">
        <v>473</v>
      </c>
      <c r="C102">
        <v>102</v>
      </c>
      <c r="D102" t="s">
        <v>470</v>
      </c>
      <c r="F102" t="s">
        <v>471</v>
      </c>
    </row>
    <row r="103" spans="1:7" x14ac:dyDescent="0.25">
      <c r="A103" t="s">
        <v>473</v>
      </c>
      <c r="C103">
        <v>103</v>
      </c>
      <c r="D103" t="s">
        <v>470</v>
      </c>
      <c r="F103" t="s">
        <v>471</v>
      </c>
    </row>
    <row r="104" spans="1:7" x14ac:dyDescent="0.25">
      <c r="A104" t="s">
        <v>473</v>
      </c>
      <c r="C104">
        <v>104</v>
      </c>
      <c r="D104" t="s">
        <v>470</v>
      </c>
      <c r="F104" t="s">
        <v>472</v>
      </c>
    </row>
    <row r="105" spans="1:7" x14ac:dyDescent="0.25">
      <c r="A105" t="s">
        <v>473</v>
      </c>
      <c r="C105">
        <v>90</v>
      </c>
      <c r="D105" t="s">
        <v>373</v>
      </c>
      <c r="F105" t="s">
        <v>474</v>
      </c>
    </row>
    <row r="106" spans="1:7" x14ac:dyDescent="0.25">
      <c r="A106" t="s">
        <v>473</v>
      </c>
      <c r="D106" t="s">
        <v>475</v>
      </c>
      <c r="F106" t="s">
        <v>476</v>
      </c>
    </row>
    <row r="107" spans="1:7" x14ac:dyDescent="0.25">
      <c r="A107" t="s">
        <v>473</v>
      </c>
      <c r="D107" t="s">
        <v>475</v>
      </c>
      <c r="F107" t="s">
        <v>477</v>
      </c>
    </row>
    <row r="108" spans="1:7" x14ac:dyDescent="0.25">
      <c r="A108" t="s">
        <v>473</v>
      </c>
      <c r="D108" t="s">
        <v>229</v>
      </c>
      <c r="F108" t="s">
        <v>478</v>
      </c>
    </row>
    <row r="109" spans="1:7" x14ac:dyDescent="0.25">
      <c r="A109" t="s">
        <v>473</v>
      </c>
      <c r="D109" t="s">
        <v>479</v>
      </c>
      <c r="F109" t="s">
        <v>480</v>
      </c>
    </row>
    <row r="110" spans="1:7" x14ac:dyDescent="0.25">
      <c r="A110" t="s">
        <v>473</v>
      </c>
      <c r="D110" t="s">
        <v>479</v>
      </c>
      <c r="F110" t="s">
        <v>481</v>
      </c>
    </row>
    <row r="111" spans="1:7" x14ac:dyDescent="0.25">
      <c r="A111" t="s">
        <v>473</v>
      </c>
      <c r="D111" t="s">
        <v>479</v>
      </c>
      <c r="F111" t="s">
        <v>482</v>
      </c>
    </row>
    <row r="112" spans="1:7" x14ac:dyDescent="0.25">
      <c r="A112" t="s">
        <v>473</v>
      </c>
      <c r="D112" t="s">
        <v>78</v>
      </c>
      <c r="F112" t="s">
        <v>293</v>
      </c>
    </row>
    <row r="113" spans="1:6" x14ac:dyDescent="0.25">
      <c r="A113" t="s">
        <v>473</v>
      </c>
      <c r="D113" t="s">
        <v>131</v>
      </c>
      <c r="F113" t="s">
        <v>29</v>
      </c>
    </row>
    <row r="114" spans="1:6" x14ac:dyDescent="0.25">
      <c r="A114" t="s">
        <v>473</v>
      </c>
      <c r="D114" t="s">
        <v>483</v>
      </c>
      <c r="F114" t="s">
        <v>484</v>
      </c>
    </row>
    <row r="115" spans="1:6" x14ac:dyDescent="0.25">
      <c r="A115" t="s">
        <v>473</v>
      </c>
      <c r="D115" t="s">
        <v>145</v>
      </c>
      <c r="F115" t="s">
        <v>485</v>
      </c>
    </row>
    <row r="116" spans="1:6" x14ac:dyDescent="0.25">
      <c r="A116" t="s">
        <v>473</v>
      </c>
      <c r="D116" t="s">
        <v>486</v>
      </c>
      <c r="F116" t="s">
        <v>487</v>
      </c>
    </row>
    <row r="117" spans="1:6" x14ac:dyDescent="0.25">
      <c r="A117" t="s">
        <v>473</v>
      </c>
      <c r="D117" t="s">
        <v>486</v>
      </c>
      <c r="F117" t="s">
        <v>488</v>
      </c>
    </row>
    <row r="118" spans="1:6" x14ac:dyDescent="0.25">
      <c r="A118" t="s">
        <v>473</v>
      </c>
      <c r="D118" t="s">
        <v>486</v>
      </c>
      <c r="F118" t="s">
        <v>489</v>
      </c>
    </row>
    <row r="119" spans="1:6" x14ac:dyDescent="0.25">
      <c r="A119" t="s">
        <v>473</v>
      </c>
      <c r="D119" t="s">
        <v>490</v>
      </c>
      <c r="F119" t="s">
        <v>414</v>
      </c>
    </row>
    <row r="120" spans="1:6" x14ac:dyDescent="0.25">
      <c r="A120" t="s">
        <v>473</v>
      </c>
      <c r="D120" t="s">
        <v>490</v>
      </c>
      <c r="F120" t="s">
        <v>491</v>
      </c>
    </row>
    <row r="121" spans="1:6" x14ac:dyDescent="0.25">
      <c r="A121" t="s">
        <v>473</v>
      </c>
      <c r="D121" t="s">
        <v>490</v>
      </c>
      <c r="F121" t="s">
        <v>492</v>
      </c>
    </row>
    <row r="122" spans="1:6" x14ac:dyDescent="0.25">
      <c r="A122" t="s">
        <v>473</v>
      </c>
      <c r="D122" t="s">
        <v>370</v>
      </c>
      <c r="F122" t="s">
        <v>28</v>
      </c>
    </row>
    <row r="123" spans="1:6" x14ac:dyDescent="0.25">
      <c r="A123" t="s">
        <v>473</v>
      </c>
      <c r="D123" t="s">
        <v>383</v>
      </c>
      <c r="F123" t="s">
        <v>493</v>
      </c>
    </row>
    <row r="124" spans="1:6" x14ac:dyDescent="0.25">
      <c r="A124" t="s">
        <v>473</v>
      </c>
      <c r="D124" t="s">
        <v>486</v>
      </c>
      <c r="F124" t="s">
        <v>494</v>
      </c>
    </row>
  </sheetData>
  <autoFilter ref="C3:G124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CONSOLIDATED NLEM 2022</vt:lpstr>
      <vt:lpstr>Sheet1</vt:lpstr>
      <vt:lpstr>Modified Release</vt:lpstr>
      <vt:lpstr>Additions</vt:lpstr>
      <vt:lpstr>Deletions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2022-11-22T10:14:46Z</dcterms:created>
  <dcterms:modified xsi:type="dcterms:W3CDTF">2023-11-18T06:08:15Z</dcterms:modified>
</cp:coreProperties>
</file>